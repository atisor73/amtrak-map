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f50/playground/amtrak-map/data/"/>
    </mc:Choice>
  </mc:AlternateContent>
  <xr:revisionPtr revIDLastSave="0" documentId="13_ncr:1_{9E70FE9F-8972-A14A-A7ED-FBE18DAD6F3F}" xr6:coauthVersionLast="47" xr6:coauthVersionMax="47" xr10:uidLastSave="{00000000-0000-0000-0000-000000000000}"/>
  <bookViews>
    <workbookView xWindow="5320" yWindow="1100" windowWidth="23100" windowHeight="16160" xr2:uid="{CCD0A306-F40C-124B-9DE1-B13368F14D3F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85" i="1" l="1"/>
  <c r="P186" i="1"/>
  <c r="P187" i="1"/>
  <c r="P188" i="1"/>
  <c r="P189" i="1"/>
  <c r="P190" i="1"/>
  <c r="P191" i="1"/>
  <c r="P192" i="1"/>
  <c r="P193" i="1"/>
  <c r="P194" i="1"/>
  <c r="P195" i="1"/>
  <c r="P184" i="1"/>
  <c r="O27" i="1"/>
  <c r="O26" i="1"/>
  <c r="O25" i="1"/>
  <c r="O24" i="1"/>
  <c r="O22" i="1"/>
  <c r="O23" i="1"/>
  <c r="O20" i="1"/>
  <c r="O19" i="1"/>
  <c r="O18" i="1"/>
  <c r="O17" i="1"/>
  <c r="O16" i="1"/>
  <c r="O13" i="1"/>
  <c r="O11" i="1"/>
  <c r="O7" i="1"/>
  <c r="O6" i="1"/>
  <c r="O4" i="1"/>
  <c r="O5" i="1"/>
  <c r="Q2" i="1"/>
  <c r="P2" i="1" s="1"/>
  <c r="Q3" i="1"/>
  <c r="P3" i="1" s="1"/>
  <c r="Q321" i="1"/>
  <c r="Q322" i="1"/>
  <c r="Q323" i="1"/>
  <c r="Q324" i="1"/>
  <c r="Q325" i="1"/>
  <c r="Q326" i="1"/>
  <c r="Q327" i="1"/>
  <c r="Q328" i="1"/>
  <c r="Q329" i="1"/>
  <c r="Q320" i="1"/>
  <c r="Q310" i="1"/>
  <c r="Q311" i="1"/>
  <c r="Q312" i="1"/>
  <c r="Q313" i="1"/>
  <c r="Q314" i="1"/>
  <c r="Q315" i="1"/>
  <c r="Q316" i="1"/>
  <c r="Q317" i="1"/>
  <c r="Q318" i="1"/>
  <c r="Q319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282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101" i="1"/>
  <c r="Q102" i="1"/>
  <c r="Q103" i="1"/>
  <c r="Q104" i="1"/>
  <c r="Q105" i="1"/>
  <c r="Q106" i="1"/>
  <c r="Q107" i="1"/>
  <c r="Q108" i="1"/>
  <c r="Q109" i="1"/>
  <c r="Q196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00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94" i="1"/>
  <c r="Q95" i="1"/>
  <c r="Q96" i="1"/>
  <c r="Q97" i="1"/>
  <c r="Q98" i="1"/>
  <c r="Q99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68" i="1"/>
  <c r="Q69" i="1"/>
  <c r="Q70" i="1"/>
  <c r="Q71" i="1"/>
  <c r="Q6" i="1"/>
  <c r="Q7" i="1"/>
  <c r="F3" i="1"/>
  <c r="F4" i="1"/>
  <c r="F5" i="1"/>
  <c r="F6" i="1"/>
  <c r="F7" i="1"/>
  <c r="F8" i="1"/>
  <c r="F9" i="1"/>
  <c r="F10" i="1"/>
  <c r="F12" i="1"/>
  <c r="F13" i="1"/>
  <c r="F14" i="1"/>
  <c r="F15" i="1"/>
  <c r="F16" i="1"/>
  <c r="F18" i="1"/>
  <c r="F19" i="1"/>
  <c r="F20" i="1"/>
  <c r="F21" i="1"/>
  <c r="F22" i="1"/>
  <c r="F23" i="1"/>
  <c r="F25" i="1"/>
  <c r="F26" i="1"/>
  <c r="F27" i="1"/>
  <c r="F28" i="1"/>
  <c r="F29" i="1"/>
  <c r="F31" i="1"/>
  <c r="F32" i="1"/>
  <c r="F33" i="1"/>
  <c r="F34" i="1"/>
  <c r="F35" i="1"/>
  <c r="F36" i="1"/>
  <c r="F37" i="1"/>
  <c r="F38" i="1"/>
  <c r="F39" i="1"/>
  <c r="F40" i="1"/>
  <c r="F41" i="1"/>
  <c r="F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4" i="1"/>
  <c r="Q5" i="1"/>
  <c r="Q8" i="1"/>
  <c r="P8" i="1" s="1"/>
  <c r="Q9" i="1"/>
  <c r="P9" i="1" s="1"/>
  <c r="Q10" i="1"/>
  <c r="P10" i="1" s="1"/>
  <c r="Q11" i="1"/>
  <c r="Q12" i="1"/>
  <c r="P12" i="1" s="1"/>
  <c r="Q13" i="1"/>
  <c r="Q14" i="1"/>
  <c r="P14" i="1" s="1"/>
  <c r="Q15" i="1"/>
  <c r="P15" i="1" s="1"/>
  <c r="Q16" i="1"/>
  <c r="Q17" i="1"/>
  <c r="Q18" i="1"/>
  <c r="Q19" i="1"/>
  <c r="Q20" i="1"/>
  <c r="Q21" i="1"/>
  <c r="P21" i="1" s="1"/>
  <c r="Q22" i="1"/>
  <c r="P27" i="1" l="1"/>
  <c r="P26" i="1"/>
  <c r="P25" i="1"/>
  <c r="P24" i="1"/>
  <c r="P22" i="1"/>
  <c r="P23" i="1"/>
  <c r="P20" i="1"/>
  <c r="P19" i="1"/>
  <c r="P18" i="1"/>
  <c r="P17" i="1"/>
  <c r="P16" i="1"/>
  <c r="P13" i="1"/>
  <c r="P11" i="1"/>
  <c r="P7" i="1"/>
  <c r="P6" i="1"/>
  <c r="P4" i="1"/>
  <c r="P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Rosita Fu</author>
  </authors>
  <commentList>
    <comment ref="E1" authorId="0" shapeId="0" xr:uid="{7E0B5246-34C1-BE48-B031-E618803489AD}">
      <text>
        <r>
          <rPr>
            <b/>
            <sz val="10"/>
            <color rgb="FF000000"/>
            <rFont val="Tahoma"/>
            <family val="2"/>
          </rPr>
          <t>Rosita Fu: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(in one direction)</t>
        </r>
      </text>
    </comment>
    <comment ref="K1" authorId="0" shapeId="0" xr:uid="{2C67AAF2-4B98-0D42-8BF0-2CCFC67BFB14}">
      <text>
        <r>
          <rPr>
            <b/>
            <sz val="10"/>
            <color rgb="FF000000"/>
            <rFont val="Tahoma"/>
            <family val="2"/>
          </rPr>
          <t>Rosita Fu: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there are 2n number of trains (bidirectional)
</t>
        </r>
      </text>
    </comment>
    <comment ref="L1" authorId="0" shapeId="0" xr:uid="{547E5D57-8273-ED4B-9DB8-F2F498DCD068}">
      <text>
        <r>
          <rPr>
            <b/>
            <sz val="10"/>
            <color rgb="FF000000"/>
            <rFont val="Tahoma"/>
            <family val="2"/>
          </rPr>
          <t>Rosita Fu: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this is defined relative to svg path, not geo
</t>
        </r>
      </text>
    </comment>
    <comment ref="O1" authorId="0" shapeId="0" xr:uid="{FB074F44-8A20-9A4B-B4A7-1328957922D2}">
      <text>
        <r>
          <rPr>
            <b/>
            <sz val="10"/>
            <color rgb="FF000000"/>
            <rFont val="Tahoma"/>
            <family val="2"/>
          </rPr>
          <t>Rosita Fu: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military time ET</t>
        </r>
      </text>
    </comment>
    <comment ref="N10" authorId="0" shapeId="0" xr:uid="{EE9E081E-75BF-AC48-A148-7B92C763AF98}">
      <text>
        <r>
          <rPr>
            <b/>
            <sz val="10"/>
            <color rgb="FF000000"/>
            <rFont val="Tahoma"/>
            <family val="2"/>
          </rPr>
          <t>Rosita Fu: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California - CHI
</t>
        </r>
      </text>
    </comment>
    <comment ref="E11" authorId="0" shapeId="0" xr:uid="{07304A59-99E6-9249-B244-44506ECD74C2}">
      <text>
        <r>
          <rPr>
            <b/>
            <sz val="10"/>
            <color rgb="FF000000"/>
            <rFont val="Tahoma"/>
            <family val="2"/>
          </rPr>
          <t>Rosita Fu: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annoying bc int.l service is limited - trains are mostly going btw Seattle - Portland with 2 going to Vancouver/Eugene
</t>
        </r>
      </text>
    </comment>
    <comment ref="N11" authorId="0" shapeId="0" xr:uid="{2E676F3D-7688-1D42-9AFB-57A3D61ABFEA}">
      <text>
        <r>
          <rPr>
            <b/>
            <sz val="10"/>
            <color rgb="FF000000"/>
            <rFont val="Tahoma"/>
            <family val="2"/>
          </rPr>
          <t>Rosita Fu: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CHI - California</t>
        </r>
      </text>
    </comment>
    <comment ref="N16" authorId="0" shapeId="0" xr:uid="{FC8E066D-915C-AE47-8A75-5EFA98CAA0DE}">
      <text>
        <r>
          <rPr>
            <b/>
            <sz val="10"/>
            <color rgb="FF000000"/>
            <rFont val="Tahoma"/>
            <family val="2"/>
          </rPr>
          <t>Rosita Fu: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NO - CHI
</t>
        </r>
      </text>
    </comment>
    <comment ref="E17" authorId="0" shapeId="0" xr:uid="{95DAA6C4-C961-AF49-9318-30536C3F61EC}">
      <text>
        <r>
          <rPr>
            <b/>
            <sz val="10"/>
            <color rgb="FF000000"/>
            <rFont val="Tahoma"/>
            <family val="2"/>
          </rPr>
          <t>Rosita Fu: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discontinuous!
</t>
        </r>
      </text>
    </comment>
    <comment ref="N17" authorId="0" shapeId="0" xr:uid="{3806686E-8F57-1F48-AB99-3AA9BEAEB1E9}">
      <text>
        <r>
          <rPr>
            <b/>
            <sz val="10"/>
            <color rgb="FF000000"/>
            <rFont val="Tahoma"/>
            <family val="2"/>
          </rPr>
          <t>Rosita Fu: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CHI-NO
</t>
        </r>
      </text>
    </comment>
    <comment ref="N20" authorId="0" shapeId="0" xr:uid="{9FE4DEC5-5D7E-934B-836A-4F102B0A9B3F}">
      <text>
        <r>
          <rPr>
            <b/>
            <sz val="10"/>
            <color rgb="FF000000"/>
            <rFont val="Tahoma"/>
            <family val="2"/>
          </rPr>
          <t>Rosita Fu: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NY - Louisiana
</t>
        </r>
      </text>
    </comment>
    <comment ref="N21" authorId="0" shapeId="0" xr:uid="{0F3F9C18-8404-3C44-BC80-BC74B45C4DDD}">
      <text>
        <r>
          <rPr>
            <b/>
            <sz val="10"/>
            <color rgb="FF000000"/>
            <rFont val="Tahoma"/>
            <family val="2"/>
          </rPr>
          <t>Rosita Fu: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Louisiana-NY
</t>
        </r>
      </text>
    </comment>
    <comment ref="N22" authorId="0" shapeId="0" xr:uid="{9D7A3145-6F50-3344-817E-64B06A8D23CF}">
      <text>
        <r>
          <rPr>
            <b/>
            <sz val="10"/>
            <color rgb="FF000000"/>
            <rFont val="Tahoma"/>
            <family val="2"/>
          </rPr>
          <t>Rosita Fu: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Chicago - Seattle
</t>
        </r>
      </text>
    </comment>
    <comment ref="N23" authorId="0" shapeId="0" xr:uid="{E907CFC2-0D9B-A74A-B801-601F20D04558}">
      <text>
        <r>
          <rPr>
            <b/>
            <sz val="10"/>
            <color rgb="FF000000"/>
            <rFont val="Tahoma"/>
            <family val="2"/>
          </rPr>
          <t>Rosita Fu: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Seattle - Chicago</t>
        </r>
      </text>
    </comment>
    <comment ref="N24" authorId="0" shapeId="0" xr:uid="{149CEF26-4C8E-2642-AFB8-930D2FEAF1E4}">
      <text>
        <r>
          <rPr>
            <b/>
            <sz val="10"/>
            <color rgb="FF000000"/>
            <rFont val="Tahoma"/>
            <family val="2"/>
          </rPr>
          <t>Rosita Fu: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NY-VT
</t>
        </r>
      </text>
    </comment>
    <comment ref="N25" authorId="0" shapeId="0" xr:uid="{4EC5FA7D-105F-654E-89E6-53E3A949A5B2}">
      <text>
        <r>
          <rPr>
            <b/>
            <sz val="10"/>
            <color rgb="FF000000"/>
            <rFont val="Tahoma"/>
            <family val="2"/>
          </rPr>
          <t>Rosita Fu: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VT - NY
</t>
        </r>
      </text>
    </comment>
    <comment ref="N26" authorId="0" shapeId="0" xr:uid="{84CAC1C2-EA54-2F48-93B2-5B32BCDA79B9}">
      <text>
        <r>
          <rPr>
            <b/>
            <sz val="10"/>
            <color rgb="FF000000"/>
            <rFont val="Tahoma"/>
            <family val="2"/>
          </rPr>
          <t>Rosita Fu: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CHI-FL
</t>
        </r>
      </text>
    </comment>
  </commentList>
</comments>
</file>

<file path=xl/sharedStrings.xml><?xml version="1.0" encoding="utf-8"?>
<sst xmlns="http://schemas.openxmlformats.org/spreadsheetml/2006/main" count="1267" uniqueCount="147">
  <si>
    <t>route</t>
  </si>
  <si>
    <t>acela</t>
  </si>
  <si>
    <t>adirondack</t>
  </si>
  <si>
    <t>autotrain</t>
  </si>
  <si>
    <t>berkshire_flyer</t>
  </si>
  <si>
    <t>borealis</t>
  </si>
  <si>
    <t>california_zephyr</t>
  </si>
  <si>
    <t>capitol_corridor</t>
  </si>
  <si>
    <t>cardinal</t>
  </si>
  <si>
    <t>carolinian</t>
  </si>
  <si>
    <t>cascades</t>
  </si>
  <si>
    <t>city_of_new_orleans</t>
  </si>
  <si>
    <t>coast_starlight</t>
  </si>
  <si>
    <t>crescent</t>
  </si>
  <si>
    <t>downeaster</t>
  </si>
  <si>
    <t>empire_builder</t>
  </si>
  <si>
    <t>empire_service</t>
  </si>
  <si>
    <t>ethan_allen_express</t>
  </si>
  <si>
    <t>floridian</t>
  </si>
  <si>
    <t>gold_runner</t>
  </si>
  <si>
    <t>hartford</t>
  </si>
  <si>
    <t>heartland_flyer</t>
  </si>
  <si>
    <t>hiawatha</t>
  </si>
  <si>
    <t>illinois_service</t>
  </si>
  <si>
    <t>keystone_service</t>
  </si>
  <si>
    <t>lakeshore_limited</t>
  </si>
  <si>
    <t>lincoln_service</t>
  </si>
  <si>
    <t>maple_leaf</t>
  </si>
  <si>
    <t>mardi_gras</t>
  </si>
  <si>
    <t>michigan_service</t>
  </si>
  <si>
    <t>missouri_river</t>
  </si>
  <si>
    <t>northeast_regional</t>
  </si>
  <si>
    <t>pacific_surfliner</t>
  </si>
  <si>
    <t>pennsylvanian</t>
  </si>
  <si>
    <t>piedmont</t>
  </si>
  <si>
    <t>silver_meteor_palmetto</t>
  </si>
  <si>
    <t>southwest_chief</t>
  </si>
  <si>
    <t>sunset_limited</t>
  </si>
  <si>
    <t>texas_eagle</t>
  </si>
  <si>
    <t>valley_flyer</t>
  </si>
  <si>
    <t>vermonter</t>
  </si>
  <si>
    <t>frequency</t>
  </si>
  <si>
    <t>nx Daily</t>
  </si>
  <si>
    <t>Daily</t>
  </si>
  <si>
    <t>Late June - Early Sept</t>
  </si>
  <si>
    <t>3 days a week</t>
  </si>
  <si>
    <t>2x Daily</t>
  </si>
  <si>
    <t>time</t>
  </si>
  <si>
    <t>time_label</t>
  </si>
  <si>
    <t>7hrs</t>
  </si>
  <si>
    <t>10hrs</t>
  </si>
  <si>
    <t>17hrs 29min</t>
  </si>
  <si>
    <t>4hrs</t>
  </si>
  <si>
    <t>7hrs 24min</t>
  </si>
  <si>
    <t>51hrs 20min</t>
  </si>
  <si>
    <t>3hrs 15min</t>
  </si>
  <si>
    <t>26hrs 30min</t>
  </si>
  <si>
    <t>13hrs 30min</t>
  </si>
  <si>
    <t>10hrs 25min</t>
  </si>
  <si>
    <t>19hrs</t>
  </si>
  <si>
    <t>35hrs</t>
  </si>
  <si>
    <t>30hrs</t>
  </si>
  <si>
    <t>3hrs 25min</t>
  </si>
  <si>
    <t>46hrs</t>
  </si>
  <si>
    <t>7hrs 20min</t>
  </si>
  <si>
    <t>7hrs 34min</t>
  </si>
  <si>
    <t>47hrs</t>
  </si>
  <si>
    <t>6hrs 15min</t>
  </si>
  <si>
    <t>1hr 24min</t>
  </si>
  <si>
    <t>4hrs 14min</t>
  </si>
  <si>
    <t>1hr 29min</t>
  </si>
  <si>
    <t>5hrs 30min</t>
  </si>
  <si>
    <t>3hrs 50min</t>
  </si>
  <si>
    <t>11hrs 45min</t>
  </si>
  <si>
    <t>12hrs 30min</t>
  </si>
  <si>
    <t>3hrs 43min</t>
  </si>
  <si>
    <t>6hrs 30min</t>
  </si>
  <si>
    <t>5hrs 40min</t>
  </si>
  <si>
    <t>9hrs</t>
  </si>
  <si>
    <t>9hrs 20min</t>
  </si>
  <si>
    <t>3hrs 10min</t>
  </si>
  <si>
    <t>&lt;28hrs</t>
  </si>
  <si>
    <t>40+hrs</t>
  </si>
  <si>
    <t>48hrs</t>
  </si>
  <si>
    <t>32hrs 25min</t>
  </si>
  <si>
    <t>2hrs 48min</t>
  </si>
  <si>
    <t>13hrs 45min</t>
  </si>
  <si>
    <t>origin</t>
  </si>
  <si>
    <t>train_id</t>
  </si>
  <si>
    <t>destination</t>
  </si>
  <si>
    <t>start</t>
  </si>
  <si>
    <t>end</t>
  </si>
  <si>
    <t>t_start</t>
  </si>
  <si>
    <t>t_end</t>
  </si>
  <si>
    <t>duration</t>
  </si>
  <si>
    <t>n_trains_daily_total</t>
  </si>
  <si>
    <t>n_trains_daily_direction</t>
  </si>
  <si>
    <t>2 or 10</t>
  </si>
  <si>
    <t>4 or 20</t>
  </si>
  <si>
    <t>branched</t>
  </si>
  <si>
    <t>2,2,4</t>
  </si>
  <si>
    <t>4,4,8</t>
  </si>
  <si>
    <t>2 or 8</t>
  </si>
  <si>
    <t>4 or 16</t>
  </si>
  <si>
    <t>1,1,6</t>
  </si>
  <si>
    <t>2,2,12</t>
  </si>
  <si>
    <t>clip_path</t>
  </si>
  <si>
    <t>&lt;-- for trains that don't go all the way (number btw 0 and 1?)</t>
  </si>
  <si>
    <t>Seattle-Oregon</t>
  </si>
  <si>
    <t>Vancouver-Oregon</t>
  </si>
  <si>
    <t>partial</t>
  </si>
  <si>
    <t>NY-Albany</t>
  </si>
  <si>
    <t>NY-Niagara</t>
  </si>
  <si>
    <t>discontinuity</t>
  </si>
  <si>
    <t>Chicago-Quincy</t>
  </si>
  <si>
    <t>Chicago-Carbondale</t>
  </si>
  <si>
    <t>Chicago-St. Louis</t>
  </si>
  <si>
    <t>Chicago-GrandRapids</t>
  </si>
  <si>
    <t>Chicago-PortHuron</t>
  </si>
  <si>
    <t>Chicago-Pontiac</t>
  </si>
  <si>
    <t>7AM-ET</t>
  </si>
  <si>
    <t>11AM-ET</t>
  </si>
  <si>
    <t>4PM-ET</t>
  </si>
  <si>
    <t>5PM-ET</t>
  </si>
  <si>
    <t>3PM-ET</t>
  </si>
  <si>
    <t>11AM-CT</t>
  </si>
  <si>
    <t>7AM-PT</t>
  </si>
  <si>
    <t>2PM-CT</t>
  </si>
  <si>
    <t>6AM-ET</t>
  </si>
  <si>
    <t>6PM-CT</t>
  </si>
  <si>
    <t>2PM-ET</t>
  </si>
  <si>
    <t>8PM-CT</t>
  </si>
  <si>
    <t>10AM-PT</t>
  </si>
  <si>
    <t>t_start_native</t>
  </si>
  <si>
    <t>9AM-CT</t>
  </si>
  <si>
    <t>3PM-CT</t>
  </si>
  <si>
    <t>5PM-PT</t>
  </si>
  <si>
    <t>10AM-ET</t>
  </si>
  <si>
    <t>7PM-CT</t>
  </si>
  <si>
    <t>5AM-PT</t>
  </si>
  <si>
    <t>9AM-PT</t>
  </si>
  <si>
    <t>11AM-PT</t>
  </si>
  <si>
    <t>2PM-PT</t>
  </si>
  <si>
    <t>4PM-PT</t>
  </si>
  <si>
    <t>8AM-PT</t>
  </si>
  <si>
    <t>12PM-PT</t>
  </si>
  <si>
    <t>6PM-PT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</si>
</sst>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rgb="FF00000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3BF9C"/>
        <bgColor rgb="FF000000"/>
      </patternFill>
    </fill>
    <fill>
      <patternFill patternType="solid">
        <fgColor rgb="FFF0B893"/>
        <bgColor rgb="FF000000"/>
      </patternFill>
    </fill>
    <fill>
      <patternFill patternType="solid">
        <fgColor rgb="FFE8A77B"/>
        <bgColor rgb="FF000000"/>
      </patternFill>
    </fill>
    <fill>
      <patternFill patternType="solid">
        <fgColor rgb="FFF6C6A5"/>
        <bgColor rgb="FF000000"/>
      </patternFill>
    </fill>
    <fill>
      <patternFill patternType="solid">
        <fgColor rgb="FFF2BE9B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F7C7A8"/>
        <bgColor rgb="FF000000"/>
      </patternFill>
    </fill>
    <fill>
      <patternFill patternType="solid">
        <fgColor rgb="FFDF925F"/>
        <bgColor rgb="FF000000"/>
      </patternFill>
    </fill>
    <fill>
      <patternFill patternType="solid">
        <fgColor rgb="FFECB088"/>
        <bgColor rgb="FF000000"/>
      </patternFill>
    </fill>
    <fill>
      <patternFill patternType="solid">
        <fgColor rgb="FFEFB791"/>
        <bgColor rgb="FF000000"/>
      </patternFill>
    </fill>
    <fill>
      <patternFill patternType="solid">
        <fgColor rgb="FFE7A377"/>
        <bgColor rgb="FF000000"/>
      </patternFill>
    </fill>
    <fill>
      <patternFill patternType="solid">
        <fgColor rgb="FFD77F45"/>
        <bgColor rgb="FF000000"/>
      </patternFill>
    </fill>
    <fill>
      <patternFill patternType="solid">
        <fgColor rgb="FFDC8A54"/>
        <bgColor rgb="FF000000"/>
      </patternFill>
    </fill>
    <fill>
      <patternFill patternType="solid">
        <fgColor rgb="FFF6C7A7"/>
        <bgColor rgb="FF000000"/>
      </patternFill>
    </fill>
    <fill>
      <patternFill patternType="solid">
        <fgColor rgb="FFCC6622"/>
        <bgColor rgb="FF000000"/>
      </patternFill>
    </fill>
    <fill>
      <patternFill patternType="solid">
        <fgColor rgb="FFF3BE9B"/>
        <bgColor rgb="FF000000"/>
      </patternFill>
    </fill>
    <fill>
      <patternFill patternType="solid">
        <fgColor rgb="FFF2BD9A"/>
        <bgColor rgb="FF000000"/>
      </patternFill>
    </fill>
    <fill>
      <patternFill patternType="solid">
        <fgColor rgb="FFCB631F"/>
        <bgColor rgb="FF000000"/>
      </patternFill>
    </fill>
    <fill>
      <patternFill patternType="solid">
        <fgColor rgb="FFF4C09E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F6C5A5"/>
        <bgColor rgb="FF000000"/>
      </patternFill>
    </fill>
    <fill>
      <patternFill patternType="solid">
        <fgColor rgb="FFF4C2A1"/>
        <bgColor rgb="FF000000"/>
      </patternFill>
    </fill>
    <fill>
      <patternFill patternType="solid">
        <fgColor rgb="FFF6C6A6"/>
        <bgColor rgb="FF000000"/>
      </patternFill>
    </fill>
    <fill>
      <patternFill patternType="solid">
        <fgColor rgb="FFEEB48D"/>
        <bgColor rgb="FF000000"/>
      </patternFill>
    </fill>
    <fill>
      <patternFill patternType="solid">
        <fgColor rgb="FFEDB28B"/>
        <bgColor rgb="FF000000"/>
      </patternFill>
    </fill>
    <fill>
      <patternFill patternType="solid">
        <fgColor rgb="FFF3C09E"/>
        <bgColor rgb="FF000000"/>
      </patternFill>
    </fill>
    <fill>
      <patternFill patternType="solid">
        <fgColor rgb="FFF4C2A0"/>
        <bgColor rgb="FF000000"/>
      </patternFill>
    </fill>
    <fill>
      <patternFill patternType="solid">
        <fgColor rgb="FFF1BA96"/>
        <bgColor rgb="FF000000"/>
      </patternFill>
    </fill>
    <fill>
      <patternFill patternType="solid">
        <fgColor rgb="FFF1B995"/>
        <bgColor rgb="FF000000"/>
      </patternFill>
    </fill>
    <fill>
      <patternFill patternType="solid">
        <fgColor rgb="FFDE8F5A"/>
        <bgColor rgb="FF000000"/>
      </patternFill>
    </fill>
    <fill>
      <patternFill patternType="solid">
        <fgColor rgb="FFD27335"/>
        <bgColor rgb="FF000000"/>
      </patternFill>
    </fill>
    <fill>
      <patternFill patternType="solid">
        <fgColor rgb="FFCA611C"/>
        <bgColor rgb="FF000000"/>
      </patternFill>
    </fill>
    <fill>
      <patternFill patternType="solid">
        <fgColor rgb="FFD9854D"/>
        <bgColor rgb="FF000000"/>
      </patternFill>
    </fill>
    <fill>
      <patternFill patternType="solid">
        <fgColor rgb="FFF7C8A9"/>
        <bgColor rgb="FF000000"/>
      </patternFill>
    </fill>
    <fill>
      <patternFill patternType="solid">
        <fgColor rgb="FFECAF87"/>
        <bgColor rgb="FF000000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2" borderId="0" xfId="0" applyFont="1" applyFill="1"/>
    <xf numFmtId="0" fontId="3" fillId="3" borderId="0" xfId="0" applyFont="1" applyFill="1"/>
    <xf numFmtId="0" fontId="7" fillId="0" borderId="0" xfId="0" applyFont="1"/>
    <xf numFmtId="0" fontId="2" fillId="4" borderId="0" xfId="0" applyFont="1" applyFill="1"/>
    <xf numFmtId="0" fontId="7" fillId="5" borderId="0" xfId="0" applyFont="1" applyFill="1"/>
    <xf numFmtId="0" fontId="7" fillId="6" borderId="0" xfId="0" applyFont="1" applyFill="1"/>
    <xf numFmtId="0" fontId="7" fillId="7" borderId="0" xfId="0" applyFont="1" applyFill="1"/>
    <xf numFmtId="0" fontId="7" fillId="8" borderId="0" xfId="0" applyFont="1" applyFill="1"/>
    <xf numFmtId="0" fontId="7" fillId="9" borderId="0" xfId="0" applyFont="1" applyFill="1"/>
    <xf numFmtId="0" fontId="7" fillId="10" borderId="0" xfId="0" applyFont="1" applyFill="1"/>
    <xf numFmtId="0" fontId="7" fillId="11" borderId="0" xfId="0" applyFont="1" applyFill="1"/>
    <xf numFmtId="0" fontId="7" fillId="12" borderId="0" xfId="0" applyFont="1" applyFill="1"/>
    <xf numFmtId="0" fontId="7" fillId="13" borderId="0" xfId="0" applyFont="1" applyFill="1"/>
    <xf numFmtId="0" fontId="7" fillId="14" borderId="0" xfId="0" applyFont="1" applyFill="1"/>
    <xf numFmtId="0" fontId="7" fillId="15" borderId="0" xfId="0" applyFont="1" applyFill="1"/>
    <xf numFmtId="0" fontId="7" fillId="16" borderId="0" xfId="0" applyFont="1" applyFill="1"/>
    <xf numFmtId="0" fontId="7" fillId="17" borderId="0" xfId="0" applyFont="1" applyFill="1"/>
    <xf numFmtId="0" fontId="7" fillId="18" borderId="0" xfId="0" applyFont="1" applyFill="1"/>
    <xf numFmtId="0" fontId="7" fillId="19" borderId="0" xfId="0" applyFont="1" applyFill="1"/>
    <xf numFmtId="0" fontId="7" fillId="20" borderId="0" xfId="0" applyFont="1" applyFill="1"/>
    <xf numFmtId="0" fontId="7" fillId="21" borderId="0" xfId="0" applyFont="1" applyFill="1"/>
    <xf numFmtId="0" fontId="7" fillId="22" borderId="0" xfId="0" applyFont="1" applyFill="1"/>
    <xf numFmtId="0" fontId="7" fillId="23" borderId="0" xfId="0" applyFont="1" applyFill="1"/>
    <xf numFmtId="0" fontId="7" fillId="24" borderId="0" xfId="0" applyFont="1" applyFill="1"/>
    <xf numFmtId="0" fontId="7" fillId="25" borderId="0" xfId="0" applyFont="1" applyFill="1"/>
    <xf numFmtId="0" fontId="7" fillId="26" borderId="0" xfId="0" applyFont="1" applyFill="1"/>
    <xf numFmtId="0" fontId="7" fillId="27" borderId="0" xfId="0" applyFont="1" applyFill="1"/>
    <xf numFmtId="0" fontId="7" fillId="28" borderId="0" xfId="0" applyFont="1" applyFill="1"/>
    <xf numFmtId="0" fontId="7" fillId="29" borderId="0" xfId="0" applyFont="1" applyFill="1"/>
    <xf numFmtId="0" fontId="7" fillId="30" borderId="0" xfId="0" applyFont="1" applyFill="1"/>
    <xf numFmtId="0" fontId="7" fillId="31" borderId="0" xfId="0" applyFont="1" applyFill="1"/>
    <xf numFmtId="0" fontId="7" fillId="32" borderId="0" xfId="0" applyFont="1" applyFill="1"/>
    <xf numFmtId="0" fontId="7" fillId="33" borderId="0" xfId="0" applyFont="1" applyFill="1"/>
    <xf numFmtId="0" fontId="7" fillId="34" borderId="0" xfId="0" applyFont="1" applyFill="1"/>
    <xf numFmtId="0" fontId="7" fillId="35" borderId="0" xfId="0" applyFont="1" applyFill="1"/>
    <xf numFmtId="0" fontId="7" fillId="36" borderId="0" xfId="0" applyFont="1" applyFill="1"/>
    <xf numFmtId="0" fontId="7" fillId="37" borderId="0" xfId="0" applyFont="1" applyFill="1"/>
    <xf numFmtId="0" fontId="7" fillId="38" borderId="0" xfId="0" applyFont="1" applyFill="1"/>
    <xf numFmtId="0" fontId="7" fillId="39" borderId="0" xfId="0" applyFont="1" applyFill="1"/>
    <xf numFmtId="0" fontId="8" fillId="0" borderId="0" xfId="0" applyFont="1"/>
    <xf numFmtId="0" fontId="0" fillId="40" borderId="0" xfId="0" applyFill="1"/>
    <xf numFmtId="0" fontId="0" fillId="0" borderId="0" xfId="0" applyFill="1"/>
    <xf numFmtId="0" fontId="0" fillId="40" borderId="1" xfId="0" applyFill="1" applyBorder="1"/>
    <xf numFmtId="0" fontId="0" fillId="40" borderId="2" xfId="0" applyFill="1" applyBorder="1"/>
    <xf numFmtId="0" fontId="0" fillId="0" borderId="3" xfId="0" applyBorder="1"/>
    <xf numFmtId="16" fontId="0" fillId="40" borderId="1" xfId="0" applyNumberFormat="1" applyFill="1" applyBorder="1"/>
    <xf numFmtId="0" fontId="8" fillId="0" borderId="4" xfId="0" applyFont="1" applyBorder="1"/>
    <xf numFmtId="0" fontId="7" fillId="0" borderId="4" xfId="0" applyFont="1" applyBorder="1"/>
    <xf numFmtId="0" fontId="7" fillId="0" borderId="0" xfId="0" applyFont="1" applyFill="1" applyBorder="1"/>
    <xf numFmtId="0" fontId="0" fillId="0" borderId="0" xfId="0" applyFill="1" applyBorder="1"/>
    <xf numFmtId="0" fontId="0" fillId="0" borderId="0" xfId="0" applyBorder="1"/>
    <xf numFmtId="0" fontId="8" fillId="0" borderId="0" xfId="0" applyFont="1" applyFill="1"/>
    <xf numFmtId="0" fontId="0" fillId="41" borderId="0" xfId="0" applyFill="1"/>
    <xf numFmtId="0" fontId="8" fillId="41" borderId="0" xfId="0" applyFont="1" applyFill="1"/>
    <xf numFmtId="0" fontId="7" fillId="41" borderId="0" xfId="0" applyFont="1" applyFill="1"/>
    <xf numFmtId="0" fontId="0" fillId="41" borderId="0" xfId="0" applyFill="1" applyBorder="1"/>
    <xf numFmtId="0" fontId="7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3C1AC-4A49-714C-AB6B-E57A5F467BCE}">
  <dimension ref="A1:S329"/>
  <sheetViews>
    <sheetView tabSelected="1" topLeftCell="G268" zoomScale="113" workbookViewId="0">
      <selection activeCell="N281" sqref="N281"/>
    </sheetView>
  </sheetViews>
  <sheetFormatPr baseColWidth="10" defaultRowHeight="16" x14ac:dyDescent="0.2"/>
  <cols>
    <col min="1" max="1" width="20.83203125" customWidth="1"/>
    <col min="2" max="2" width="15.83203125" customWidth="1"/>
    <col min="5" max="5" width="9.1640625" customWidth="1"/>
    <col min="6" max="6" width="10.1640625" customWidth="1"/>
    <col min="7" max="7" width="11.6640625" customWidth="1"/>
    <col min="8" max="8" width="7" customWidth="1"/>
    <col min="9" max="9" width="14.83203125" customWidth="1"/>
    <col min="10" max="10" width="17.1640625" customWidth="1"/>
  </cols>
  <sheetData>
    <row r="1" spans="1:19" x14ac:dyDescent="0.2">
      <c r="A1" s="1" t="s">
        <v>0</v>
      </c>
      <c r="B1" s="3" t="s">
        <v>41</v>
      </c>
      <c r="C1" s="3" t="s">
        <v>47</v>
      </c>
      <c r="D1" s="3" t="s">
        <v>48</v>
      </c>
      <c r="E1" s="3" t="s">
        <v>96</v>
      </c>
      <c r="F1" s="3" t="s">
        <v>95</v>
      </c>
      <c r="G1" s="3" t="s">
        <v>113</v>
      </c>
      <c r="H1" s="3"/>
      <c r="I1" s="3"/>
      <c r="J1" s="3" t="s">
        <v>0</v>
      </c>
      <c r="K1" s="3" t="s">
        <v>88</v>
      </c>
      <c r="L1" s="3" t="s">
        <v>87</v>
      </c>
      <c r="M1" s="3" t="s">
        <v>89</v>
      </c>
      <c r="N1" s="3" t="s">
        <v>133</v>
      </c>
      <c r="O1" s="3" t="s">
        <v>92</v>
      </c>
      <c r="P1" s="3" t="s">
        <v>93</v>
      </c>
      <c r="Q1" s="3" t="s">
        <v>94</v>
      </c>
      <c r="R1" s="3" t="s">
        <v>106</v>
      </c>
      <c r="S1" s="3" t="s">
        <v>107</v>
      </c>
    </row>
    <row r="2" spans="1:19" x14ac:dyDescent="0.2">
      <c r="A2" s="2" t="s">
        <v>1</v>
      </c>
      <c r="B2" s="4" t="s">
        <v>42</v>
      </c>
      <c r="C2" s="8">
        <v>7</v>
      </c>
      <c r="D2" s="6" t="s">
        <v>49</v>
      </c>
      <c r="E2" s="44">
        <v>15</v>
      </c>
      <c r="F2" s="44">
        <f>E2*2</f>
        <v>30</v>
      </c>
      <c r="J2" s="43" t="s">
        <v>2</v>
      </c>
      <c r="K2" s="6">
        <v>1</v>
      </c>
      <c r="L2" s="6" t="s">
        <v>90</v>
      </c>
      <c r="M2" s="6" t="s">
        <v>91</v>
      </c>
      <c r="N2" s="6" t="s">
        <v>120</v>
      </c>
      <c r="O2" s="6">
        <v>7</v>
      </c>
      <c r="P2" s="6">
        <f>ROUND(O2+Q2,0)</f>
        <v>17</v>
      </c>
      <c r="Q2">
        <f>_xlfn.XLOOKUP(J2, A:A, C:C)</f>
        <v>10</v>
      </c>
      <c r="R2">
        <v>0</v>
      </c>
      <c r="S2">
        <v>1</v>
      </c>
    </row>
    <row r="3" spans="1:19" x14ac:dyDescent="0.2">
      <c r="A3" s="2" t="s">
        <v>2</v>
      </c>
      <c r="B3" s="5" t="s">
        <v>43</v>
      </c>
      <c r="C3" s="9">
        <v>10</v>
      </c>
      <c r="D3" s="6" t="s">
        <v>50</v>
      </c>
      <c r="E3">
        <v>1</v>
      </c>
      <c r="F3">
        <f t="shared" ref="F3:F41" si="0">E3*2</f>
        <v>2</v>
      </c>
      <c r="J3" s="43" t="s">
        <v>2</v>
      </c>
      <c r="K3" s="6">
        <v>2</v>
      </c>
      <c r="L3" s="6" t="s">
        <v>91</v>
      </c>
      <c r="M3" s="6" t="s">
        <v>90</v>
      </c>
      <c r="N3" s="6" t="s">
        <v>121</v>
      </c>
      <c r="O3" s="6">
        <v>11</v>
      </c>
      <c r="P3" s="6">
        <f t="shared" ref="P3:P27" si="1">ROUND(O3+Q3,0)</f>
        <v>21</v>
      </c>
      <c r="Q3">
        <f>_xlfn.XLOOKUP(J3, A:A, C:C)</f>
        <v>10</v>
      </c>
      <c r="R3">
        <v>0</v>
      </c>
      <c r="S3">
        <v>1</v>
      </c>
    </row>
    <row r="4" spans="1:19" x14ac:dyDescent="0.2">
      <c r="A4" s="2" t="s">
        <v>3</v>
      </c>
      <c r="B4" s="5" t="s">
        <v>43</v>
      </c>
      <c r="C4" s="10">
        <v>17.483000000000001</v>
      </c>
      <c r="D4" s="6" t="s">
        <v>51</v>
      </c>
      <c r="E4">
        <v>1</v>
      </c>
      <c r="F4">
        <f t="shared" si="0"/>
        <v>2</v>
      </c>
      <c r="J4" s="43" t="s">
        <v>3</v>
      </c>
      <c r="K4" s="6">
        <v>1</v>
      </c>
      <c r="L4" s="6" t="s">
        <v>90</v>
      </c>
      <c r="M4" s="6" t="s">
        <v>91</v>
      </c>
      <c r="N4" s="6" t="s">
        <v>122</v>
      </c>
      <c r="O4" s="6">
        <f>4+12</f>
        <v>16</v>
      </c>
      <c r="P4" s="6">
        <f t="shared" si="1"/>
        <v>33</v>
      </c>
      <c r="Q4">
        <f>_xlfn.XLOOKUP(J4, A:A, C:C)</f>
        <v>17.483000000000001</v>
      </c>
      <c r="R4">
        <v>0</v>
      </c>
      <c r="S4">
        <v>1</v>
      </c>
    </row>
    <row r="5" spans="1:19" x14ac:dyDescent="0.2">
      <c r="A5" s="2" t="s">
        <v>4</v>
      </c>
      <c r="B5" s="6" t="s">
        <v>44</v>
      </c>
      <c r="C5" s="11">
        <v>4</v>
      </c>
      <c r="D5" s="6" t="s">
        <v>52</v>
      </c>
      <c r="E5" s="45">
        <v>1</v>
      </c>
      <c r="F5">
        <f t="shared" si="0"/>
        <v>2</v>
      </c>
      <c r="J5" s="43" t="s">
        <v>3</v>
      </c>
      <c r="K5" s="6">
        <v>2</v>
      </c>
      <c r="L5" s="6" t="s">
        <v>91</v>
      </c>
      <c r="M5" s="6" t="s">
        <v>90</v>
      </c>
      <c r="N5" s="6" t="s">
        <v>122</v>
      </c>
      <c r="O5" s="6">
        <f>4+12</f>
        <v>16</v>
      </c>
      <c r="P5" s="6">
        <f t="shared" si="1"/>
        <v>33</v>
      </c>
      <c r="Q5">
        <f>_xlfn.XLOOKUP(J5, A:A, C:C)</f>
        <v>17.483000000000001</v>
      </c>
      <c r="R5">
        <v>0</v>
      </c>
      <c r="S5">
        <v>1</v>
      </c>
    </row>
    <row r="6" spans="1:19" x14ac:dyDescent="0.2">
      <c r="A6" s="2" t="s">
        <v>5</v>
      </c>
      <c r="B6" s="5" t="s">
        <v>43</v>
      </c>
      <c r="C6" s="12">
        <v>7.4</v>
      </c>
      <c r="D6" s="6" t="s">
        <v>53</v>
      </c>
      <c r="E6">
        <v>1</v>
      </c>
      <c r="F6">
        <f t="shared" si="0"/>
        <v>2</v>
      </c>
      <c r="J6" s="43" t="s">
        <v>4</v>
      </c>
      <c r="K6" s="6">
        <v>1</v>
      </c>
      <c r="L6" s="6" t="s">
        <v>90</v>
      </c>
      <c r="M6" s="6" t="s">
        <v>91</v>
      </c>
      <c r="N6" s="6" t="s">
        <v>123</v>
      </c>
      <c r="O6" s="6">
        <f>5+12</f>
        <v>17</v>
      </c>
      <c r="P6" s="6">
        <f t="shared" si="1"/>
        <v>21</v>
      </c>
      <c r="Q6">
        <f>_xlfn.XLOOKUP(J6, A:A, C:C)</f>
        <v>4</v>
      </c>
      <c r="R6">
        <v>0</v>
      </c>
      <c r="S6">
        <v>1</v>
      </c>
    </row>
    <row r="7" spans="1:19" x14ac:dyDescent="0.2">
      <c r="A7" s="2" t="s">
        <v>6</v>
      </c>
      <c r="B7" s="5" t="s">
        <v>43</v>
      </c>
      <c r="C7" s="13">
        <v>51.332999999999998</v>
      </c>
      <c r="D7" s="6" t="s">
        <v>54</v>
      </c>
      <c r="E7">
        <v>1</v>
      </c>
      <c r="F7">
        <f t="shared" si="0"/>
        <v>2</v>
      </c>
      <c r="J7" s="43" t="s">
        <v>4</v>
      </c>
      <c r="K7" s="6">
        <v>2</v>
      </c>
      <c r="L7" s="6" t="s">
        <v>91</v>
      </c>
      <c r="M7" s="6" t="s">
        <v>90</v>
      </c>
      <c r="N7" s="6" t="s">
        <v>124</v>
      </c>
      <c r="O7" s="6">
        <f>3+12</f>
        <v>15</v>
      </c>
      <c r="P7" s="6">
        <f t="shared" si="1"/>
        <v>19</v>
      </c>
      <c r="Q7">
        <f>_xlfn.XLOOKUP(J7, A:A, C:C)</f>
        <v>4</v>
      </c>
      <c r="R7">
        <v>0</v>
      </c>
      <c r="S7">
        <v>1</v>
      </c>
    </row>
    <row r="8" spans="1:19" x14ac:dyDescent="0.2">
      <c r="A8" s="2" t="s">
        <v>7</v>
      </c>
      <c r="B8" s="4" t="s">
        <v>42</v>
      </c>
      <c r="C8" s="14">
        <v>3.25</v>
      </c>
      <c r="D8" s="6" t="s">
        <v>55</v>
      </c>
      <c r="E8" s="44">
        <v>15</v>
      </c>
      <c r="F8" s="44">
        <f t="shared" si="0"/>
        <v>30</v>
      </c>
      <c r="J8" s="43" t="s">
        <v>5</v>
      </c>
      <c r="K8" s="6">
        <v>1</v>
      </c>
      <c r="L8" s="6" t="s">
        <v>90</v>
      </c>
      <c r="M8" s="6" t="s">
        <v>91</v>
      </c>
      <c r="N8" s="6" t="s">
        <v>125</v>
      </c>
      <c r="O8" s="6">
        <v>12</v>
      </c>
      <c r="P8" s="6">
        <f t="shared" si="1"/>
        <v>19</v>
      </c>
      <c r="Q8">
        <f>_xlfn.XLOOKUP(J8, A:A, C:C)</f>
        <v>7.4</v>
      </c>
      <c r="R8">
        <v>0</v>
      </c>
      <c r="S8">
        <v>1</v>
      </c>
    </row>
    <row r="9" spans="1:19" x14ac:dyDescent="0.2">
      <c r="A9" s="2" t="s">
        <v>8</v>
      </c>
      <c r="B9" s="7" t="s">
        <v>45</v>
      </c>
      <c r="C9" s="15">
        <v>26.5</v>
      </c>
      <c r="D9" s="6" t="s">
        <v>56</v>
      </c>
      <c r="E9">
        <v>1</v>
      </c>
      <c r="F9">
        <f t="shared" si="0"/>
        <v>2</v>
      </c>
      <c r="J9" s="43" t="s">
        <v>5</v>
      </c>
      <c r="K9" s="6">
        <v>2</v>
      </c>
      <c r="L9" s="6" t="s">
        <v>91</v>
      </c>
      <c r="M9" s="6" t="s">
        <v>90</v>
      </c>
      <c r="N9" s="6" t="s">
        <v>125</v>
      </c>
      <c r="O9" s="6">
        <v>12</v>
      </c>
      <c r="P9" s="6">
        <f t="shared" si="1"/>
        <v>19</v>
      </c>
      <c r="Q9">
        <f>_xlfn.XLOOKUP(J9, A:A, C:C)</f>
        <v>7.4</v>
      </c>
      <c r="R9">
        <v>0</v>
      </c>
      <c r="S9">
        <v>1</v>
      </c>
    </row>
    <row r="10" spans="1:19" x14ac:dyDescent="0.2">
      <c r="A10" s="2" t="s">
        <v>9</v>
      </c>
      <c r="B10" s="5" t="s">
        <v>43</v>
      </c>
      <c r="C10" s="16">
        <v>13.5</v>
      </c>
      <c r="D10" s="6" t="s">
        <v>57</v>
      </c>
      <c r="E10">
        <v>1</v>
      </c>
      <c r="F10">
        <f t="shared" si="0"/>
        <v>2</v>
      </c>
      <c r="J10" s="43" t="s">
        <v>6</v>
      </c>
      <c r="K10" s="6">
        <v>1</v>
      </c>
      <c r="L10" s="6" t="s">
        <v>90</v>
      </c>
      <c r="M10" s="6" t="s">
        <v>91</v>
      </c>
      <c r="N10" s="6" t="s">
        <v>126</v>
      </c>
      <c r="O10" s="6">
        <v>10</v>
      </c>
      <c r="P10" s="6">
        <f t="shared" si="1"/>
        <v>61</v>
      </c>
      <c r="Q10">
        <f>_xlfn.XLOOKUP(J10, A:A, C:C)</f>
        <v>51.332999999999998</v>
      </c>
      <c r="R10">
        <v>0</v>
      </c>
      <c r="S10">
        <v>1</v>
      </c>
    </row>
    <row r="11" spans="1:19" x14ac:dyDescent="0.2">
      <c r="A11" s="2" t="s">
        <v>10</v>
      </c>
      <c r="B11" s="4" t="s">
        <v>42</v>
      </c>
      <c r="C11" s="17">
        <v>10.417</v>
      </c>
      <c r="D11" s="6" t="s">
        <v>58</v>
      </c>
      <c r="E11" s="46" t="s">
        <v>102</v>
      </c>
      <c r="F11" s="47" t="s">
        <v>103</v>
      </c>
      <c r="G11" s="48" t="s">
        <v>110</v>
      </c>
      <c r="J11" s="43" t="s">
        <v>6</v>
      </c>
      <c r="K11" s="6">
        <v>2</v>
      </c>
      <c r="L11" s="6" t="s">
        <v>91</v>
      </c>
      <c r="M11" s="6" t="s">
        <v>90</v>
      </c>
      <c r="N11" s="6" t="s">
        <v>127</v>
      </c>
      <c r="O11" s="6">
        <f>3+15</f>
        <v>18</v>
      </c>
      <c r="P11" s="6">
        <f t="shared" si="1"/>
        <v>69</v>
      </c>
      <c r="Q11">
        <f>_xlfn.XLOOKUP(J11, A:A, C:C)</f>
        <v>51.332999999999998</v>
      </c>
      <c r="R11">
        <v>0</v>
      </c>
      <c r="S11">
        <v>1</v>
      </c>
    </row>
    <row r="12" spans="1:19" x14ac:dyDescent="0.2">
      <c r="A12" s="2" t="s">
        <v>11</v>
      </c>
      <c r="B12" s="5" t="s">
        <v>43</v>
      </c>
      <c r="C12" s="18">
        <v>19</v>
      </c>
      <c r="D12" s="6" t="s">
        <v>59</v>
      </c>
      <c r="E12">
        <v>1</v>
      </c>
      <c r="F12">
        <f t="shared" si="0"/>
        <v>2</v>
      </c>
      <c r="J12" s="43" t="s">
        <v>8</v>
      </c>
      <c r="K12" s="6">
        <v>1</v>
      </c>
      <c r="L12" s="6" t="s">
        <v>90</v>
      </c>
      <c r="M12" s="6" t="s">
        <v>91</v>
      </c>
      <c r="N12" s="6" t="s">
        <v>128</v>
      </c>
      <c r="O12" s="6">
        <v>6</v>
      </c>
      <c r="P12" s="6">
        <f t="shared" si="1"/>
        <v>33</v>
      </c>
      <c r="Q12">
        <f>_xlfn.XLOOKUP(J12, A:A, C:C)</f>
        <v>26.5</v>
      </c>
      <c r="R12">
        <v>0</v>
      </c>
      <c r="S12">
        <v>1</v>
      </c>
    </row>
    <row r="13" spans="1:19" x14ac:dyDescent="0.2">
      <c r="A13" s="2" t="s">
        <v>12</v>
      </c>
      <c r="B13" s="5" t="s">
        <v>43</v>
      </c>
      <c r="C13" s="19">
        <v>35</v>
      </c>
      <c r="D13" s="6" t="s">
        <v>60</v>
      </c>
      <c r="E13">
        <v>1</v>
      </c>
      <c r="F13">
        <f t="shared" si="0"/>
        <v>2</v>
      </c>
      <c r="J13" s="43" t="s">
        <v>8</v>
      </c>
      <c r="K13" s="6">
        <v>2</v>
      </c>
      <c r="L13" s="6" t="s">
        <v>91</v>
      </c>
      <c r="M13" s="6" t="s">
        <v>90</v>
      </c>
      <c r="N13" s="6" t="s">
        <v>129</v>
      </c>
      <c r="O13" s="6">
        <f>7+12</f>
        <v>19</v>
      </c>
      <c r="P13" s="6">
        <f t="shared" si="1"/>
        <v>46</v>
      </c>
      <c r="Q13">
        <f>_xlfn.XLOOKUP(J13, A:A, C:C)</f>
        <v>26.5</v>
      </c>
      <c r="R13">
        <v>0</v>
      </c>
      <c r="S13">
        <v>1</v>
      </c>
    </row>
    <row r="14" spans="1:19" x14ac:dyDescent="0.2">
      <c r="A14" s="2" t="s">
        <v>13</v>
      </c>
      <c r="B14" s="5" t="s">
        <v>43</v>
      </c>
      <c r="C14" s="20">
        <v>30</v>
      </c>
      <c r="D14" s="6" t="s">
        <v>61</v>
      </c>
      <c r="E14">
        <v>1</v>
      </c>
      <c r="F14">
        <f t="shared" si="0"/>
        <v>2</v>
      </c>
      <c r="J14" s="43" t="s">
        <v>9</v>
      </c>
      <c r="K14" s="6">
        <v>1</v>
      </c>
      <c r="L14" s="6" t="s">
        <v>90</v>
      </c>
      <c r="M14" s="6" t="s">
        <v>91</v>
      </c>
      <c r="N14" s="6" t="s">
        <v>120</v>
      </c>
      <c r="O14" s="6">
        <v>7</v>
      </c>
      <c r="P14" s="6">
        <f t="shared" si="1"/>
        <v>21</v>
      </c>
      <c r="Q14">
        <f>_xlfn.XLOOKUP(J14, A:A, C:C)</f>
        <v>13.5</v>
      </c>
      <c r="R14">
        <v>0</v>
      </c>
      <c r="S14">
        <v>1</v>
      </c>
    </row>
    <row r="15" spans="1:19" x14ac:dyDescent="0.2">
      <c r="A15" s="2" t="s">
        <v>14</v>
      </c>
      <c r="B15" s="4" t="s">
        <v>42</v>
      </c>
      <c r="C15" s="21">
        <v>3.4167000000000001</v>
      </c>
      <c r="D15" s="6" t="s">
        <v>62</v>
      </c>
      <c r="E15" s="44">
        <v>5</v>
      </c>
      <c r="F15" s="44">
        <f t="shared" si="0"/>
        <v>10</v>
      </c>
      <c r="J15" s="43" t="s">
        <v>9</v>
      </c>
      <c r="K15" s="6">
        <v>2</v>
      </c>
      <c r="L15" s="6" t="s">
        <v>91</v>
      </c>
      <c r="M15" s="6" t="s">
        <v>90</v>
      </c>
      <c r="N15" s="6" t="s">
        <v>120</v>
      </c>
      <c r="O15" s="6">
        <v>7</v>
      </c>
      <c r="P15" s="6">
        <f t="shared" si="1"/>
        <v>21</v>
      </c>
      <c r="Q15">
        <f>_xlfn.XLOOKUP(J15, A:A, C:C)</f>
        <v>13.5</v>
      </c>
      <c r="R15">
        <v>0</v>
      </c>
      <c r="S15">
        <v>1</v>
      </c>
    </row>
    <row r="16" spans="1:19" x14ac:dyDescent="0.2">
      <c r="A16" s="2" t="s">
        <v>15</v>
      </c>
      <c r="B16" s="5" t="s">
        <v>43</v>
      </c>
      <c r="C16" s="22">
        <v>46</v>
      </c>
      <c r="D16" s="6" t="s">
        <v>63</v>
      </c>
      <c r="E16">
        <v>1</v>
      </c>
      <c r="F16">
        <f t="shared" si="0"/>
        <v>2</v>
      </c>
      <c r="J16" s="43" t="s">
        <v>11</v>
      </c>
      <c r="K16" s="6">
        <v>1</v>
      </c>
      <c r="L16" s="6" t="s">
        <v>90</v>
      </c>
      <c r="M16" s="6" t="s">
        <v>91</v>
      </c>
      <c r="N16" s="6" t="s">
        <v>127</v>
      </c>
      <c r="O16" s="6">
        <f>3+12</f>
        <v>15</v>
      </c>
      <c r="P16" s="6">
        <f t="shared" si="1"/>
        <v>34</v>
      </c>
      <c r="Q16">
        <f>_xlfn.XLOOKUP(J16, A:A, C:C)</f>
        <v>19</v>
      </c>
      <c r="R16">
        <v>0</v>
      </c>
      <c r="S16">
        <v>1</v>
      </c>
    </row>
    <row r="17" spans="1:19" x14ac:dyDescent="0.2">
      <c r="A17" s="2" t="s">
        <v>16</v>
      </c>
      <c r="B17" s="4" t="s">
        <v>42</v>
      </c>
      <c r="C17" s="23">
        <v>7.3333000000000004</v>
      </c>
      <c r="D17" s="6" t="s">
        <v>64</v>
      </c>
      <c r="E17" s="49" t="s">
        <v>97</v>
      </c>
      <c r="F17" s="47" t="s">
        <v>98</v>
      </c>
      <c r="G17" s="48" t="s">
        <v>110</v>
      </c>
      <c r="J17" s="43" t="s">
        <v>11</v>
      </c>
      <c r="K17" s="6">
        <v>2</v>
      </c>
      <c r="L17" s="6" t="s">
        <v>91</v>
      </c>
      <c r="M17" s="6" t="s">
        <v>90</v>
      </c>
      <c r="N17" s="6" t="s">
        <v>131</v>
      </c>
      <c r="O17" s="6">
        <f>9+12</f>
        <v>21</v>
      </c>
      <c r="P17" s="6">
        <f t="shared" si="1"/>
        <v>40</v>
      </c>
      <c r="Q17">
        <f>_xlfn.XLOOKUP(J17, A:A, C:C)</f>
        <v>19</v>
      </c>
      <c r="R17">
        <v>0</v>
      </c>
      <c r="S17">
        <v>1</v>
      </c>
    </row>
    <row r="18" spans="1:19" x14ac:dyDescent="0.2">
      <c r="A18" s="2" t="s">
        <v>17</v>
      </c>
      <c r="B18" s="5" t="s">
        <v>43</v>
      </c>
      <c r="C18" s="24">
        <v>7.5667</v>
      </c>
      <c r="D18" s="6" t="s">
        <v>65</v>
      </c>
      <c r="E18">
        <v>1</v>
      </c>
      <c r="F18">
        <f t="shared" si="0"/>
        <v>2</v>
      </c>
      <c r="J18" s="43" t="s">
        <v>12</v>
      </c>
      <c r="K18" s="6">
        <v>1</v>
      </c>
      <c r="L18" s="6" t="s">
        <v>90</v>
      </c>
      <c r="M18" s="6" t="s">
        <v>91</v>
      </c>
      <c r="N18" s="6" t="s">
        <v>132</v>
      </c>
      <c r="O18" s="6">
        <f>1+12</f>
        <v>13</v>
      </c>
      <c r="P18" s="6">
        <f t="shared" si="1"/>
        <v>48</v>
      </c>
      <c r="Q18">
        <f>_xlfn.XLOOKUP(J18, A:A, C:C)</f>
        <v>35</v>
      </c>
      <c r="R18">
        <v>0</v>
      </c>
      <c r="S18">
        <v>1</v>
      </c>
    </row>
    <row r="19" spans="1:19" x14ac:dyDescent="0.2">
      <c r="A19" s="2" t="s">
        <v>18</v>
      </c>
      <c r="B19" s="5" t="s">
        <v>43</v>
      </c>
      <c r="C19" s="25">
        <v>47</v>
      </c>
      <c r="D19" s="6" t="s">
        <v>66</v>
      </c>
      <c r="E19">
        <v>1</v>
      </c>
      <c r="F19">
        <f t="shared" si="0"/>
        <v>2</v>
      </c>
      <c r="J19" s="43" t="s">
        <v>12</v>
      </c>
      <c r="K19" s="6">
        <v>2</v>
      </c>
      <c r="L19" s="6" t="s">
        <v>91</v>
      </c>
      <c r="M19" s="6" t="s">
        <v>90</v>
      </c>
      <c r="N19" s="6" t="s">
        <v>132</v>
      </c>
      <c r="O19" s="6">
        <f>13</f>
        <v>13</v>
      </c>
      <c r="P19" s="6">
        <f t="shared" si="1"/>
        <v>48</v>
      </c>
      <c r="Q19">
        <f>_xlfn.XLOOKUP(J19, A:A, C:C)</f>
        <v>35</v>
      </c>
      <c r="R19">
        <v>0</v>
      </c>
      <c r="S19">
        <v>1</v>
      </c>
    </row>
    <row r="20" spans="1:19" x14ac:dyDescent="0.2">
      <c r="A20" s="2" t="s">
        <v>19</v>
      </c>
      <c r="B20" s="4" t="s">
        <v>42</v>
      </c>
      <c r="C20" s="26">
        <v>6.25</v>
      </c>
      <c r="D20" s="6" t="s">
        <v>67</v>
      </c>
      <c r="E20" s="44">
        <v>6</v>
      </c>
      <c r="F20" s="44">
        <f t="shared" si="0"/>
        <v>12</v>
      </c>
      <c r="J20" s="43" t="s">
        <v>13</v>
      </c>
      <c r="K20" s="6">
        <v>1</v>
      </c>
      <c r="L20" s="6" t="s">
        <v>90</v>
      </c>
      <c r="M20" s="6" t="s">
        <v>91</v>
      </c>
      <c r="N20" s="6" t="s">
        <v>130</v>
      </c>
      <c r="O20" s="6">
        <f>2+12</f>
        <v>14</v>
      </c>
      <c r="P20" s="6">
        <f t="shared" si="1"/>
        <v>44</v>
      </c>
      <c r="Q20">
        <f>_xlfn.XLOOKUP(J20, A:A, C:C)</f>
        <v>30</v>
      </c>
      <c r="R20">
        <v>0</v>
      </c>
      <c r="S20">
        <v>1</v>
      </c>
    </row>
    <row r="21" spans="1:19" x14ac:dyDescent="0.2">
      <c r="A21" s="2" t="s">
        <v>20</v>
      </c>
      <c r="B21" s="4" t="s">
        <v>42</v>
      </c>
      <c r="C21" s="27">
        <v>1.4</v>
      </c>
      <c r="D21" s="6" t="s">
        <v>68</v>
      </c>
      <c r="E21" s="44">
        <v>7</v>
      </c>
      <c r="F21" s="44">
        <f t="shared" si="0"/>
        <v>14</v>
      </c>
      <c r="J21" s="43" t="s">
        <v>13</v>
      </c>
      <c r="K21" s="6">
        <v>2</v>
      </c>
      <c r="L21" s="6" t="s">
        <v>91</v>
      </c>
      <c r="M21" s="6" t="s">
        <v>90</v>
      </c>
      <c r="N21" s="6" t="s">
        <v>134</v>
      </c>
      <c r="O21" s="6">
        <v>10</v>
      </c>
      <c r="P21" s="6">
        <f t="shared" si="1"/>
        <v>40</v>
      </c>
      <c r="Q21">
        <f>_xlfn.XLOOKUP(J21, A:A, C:C)</f>
        <v>30</v>
      </c>
      <c r="R21">
        <v>0</v>
      </c>
      <c r="S21">
        <v>1</v>
      </c>
    </row>
    <row r="22" spans="1:19" x14ac:dyDescent="0.2">
      <c r="A22" s="2" t="s">
        <v>21</v>
      </c>
      <c r="B22" s="5" t="s">
        <v>43</v>
      </c>
      <c r="C22" s="28">
        <v>4.2332999999999998</v>
      </c>
      <c r="D22" s="6" t="s">
        <v>69</v>
      </c>
      <c r="E22">
        <v>1</v>
      </c>
      <c r="F22">
        <f t="shared" si="0"/>
        <v>2</v>
      </c>
      <c r="J22" s="43" t="s">
        <v>15</v>
      </c>
      <c r="K22" s="6">
        <v>1</v>
      </c>
      <c r="L22" s="6" t="s">
        <v>90</v>
      </c>
      <c r="M22" s="6" t="s">
        <v>91</v>
      </c>
      <c r="N22" s="6" t="s">
        <v>135</v>
      </c>
      <c r="O22" s="6">
        <f>4+12</f>
        <v>16</v>
      </c>
      <c r="P22" s="6">
        <f t="shared" si="1"/>
        <v>62</v>
      </c>
      <c r="Q22">
        <f>_xlfn.XLOOKUP(J22, A:A, C:C)</f>
        <v>46</v>
      </c>
      <c r="R22">
        <v>0</v>
      </c>
      <c r="S22">
        <v>1</v>
      </c>
    </row>
    <row r="23" spans="1:19" x14ac:dyDescent="0.2">
      <c r="A23" s="2" t="s">
        <v>22</v>
      </c>
      <c r="B23" s="4" t="s">
        <v>42</v>
      </c>
      <c r="C23" s="27">
        <v>1.4833000000000001</v>
      </c>
      <c r="D23" s="6" t="s">
        <v>70</v>
      </c>
      <c r="E23" s="44">
        <v>7</v>
      </c>
      <c r="F23" s="44">
        <f t="shared" si="0"/>
        <v>14</v>
      </c>
      <c r="J23" s="43" t="s">
        <v>15</v>
      </c>
      <c r="K23" s="6">
        <v>2</v>
      </c>
      <c r="L23" s="6" t="s">
        <v>91</v>
      </c>
      <c r="M23" s="6" t="s">
        <v>90</v>
      </c>
      <c r="N23" s="6" t="s">
        <v>136</v>
      </c>
      <c r="O23" s="6">
        <f>5+12</f>
        <v>17</v>
      </c>
      <c r="P23" s="6">
        <f t="shared" si="1"/>
        <v>63</v>
      </c>
      <c r="Q23">
        <f>_xlfn.XLOOKUP(J23, A:A, C:C)</f>
        <v>46</v>
      </c>
      <c r="R23">
        <v>0</v>
      </c>
      <c r="S23">
        <v>1</v>
      </c>
    </row>
    <row r="24" spans="1:19" x14ac:dyDescent="0.2">
      <c r="A24" s="2" t="s">
        <v>23</v>
      </c>
      <c r="B24" s="4" t="s">
        <v>42</v>
      </c>
      <c r="C24" s="29">
        <v>5.5</v>
      </c>
      <c r="D24" s="6" t="s">
        <v>71</v>
      </c>
      <c r="E24" s="46" t="s">
        <v>100</v>
      </c>
      <c r="F24" s="47" t="s">
        <v>101</v>
      </c>
      <c r="G24" s="48" t="s">
        <v>99</v>
      </c>
      <c r="J24" s="43" t="s">
        <v>17</v>
      </c>
      <c r="K24" s="6">
        <v>1</v>
      </c>
      <c r="L24" s="6" t="s">
        <v>90</v>
      </c>
      <c r="M24" s="6" t="s">
        <v>91</v>
      </c>
      <c r="N24" s="6" t="s">
        <v>130</v>
      </c>
      <c r="O24" s="6">
        <f>2+12</f>
        <v>14</v>
      </c>
      <c r="P24" s="6">
        <f t="shared" si="1"/>
        <v>22</v>
      </c>
      <c r="Q24">
        <f>_xlfn.XLOOKUP(J24, A:A, C:C)</f>
        <v>7.5667</v>
      </c>
      <c r="R24">
        <v>0</v>
      </c>
      <c r="S24">
        <v>1</v>
      </c>
    </row>
    <row r="25" spans="1:19" x14ac:dyDescent="0.2">
      <c r="A25" s="2" t="s">
        <v>24</v>
      </c>
      <c r="B25" s="4" t="s">
        <v>42</v>
      </c>
      <c r="C25" s="30">
        <v>3.8332999999999999</v>
      </c>
      <c r="D25" s="6" t="s">
        <v>72</v>
      </c>
      <c r="E25" s="44">
        <v>13</v>
      </c>
      <c r="F25" s="44">
        <f t="shared" si="0"/>
        <v>26</v>
      </c>
      <c r="J25" s="43" t="s">
        <v>17</v>
      </c>
      <c r="K25" s="6">
        <v>2</v>
      </c>
      <c r="L25" s="6" t="s">
        <v>91</v>
      </c>
      <c r="M25" s="6" t="s">
        <v>90</v>
      </c>
      <c r="N25" s="6" t="s">
        <v>137</v>
      </c>
      <c r="O25" s="6">
        <f>10</f>
        <v>10</v>
      </c>
      <c r="P25" s="6">
        <f t="shared" si="1"/>
        <v>18</v>
      </c>
      <c r="Q25">
        <f>_xlfn.XLOOKUP(J25, A:A, C:C)</f>
        <v>7.5667</v>
      </c>
      <c r="R25">
        <v>0</v>
      </c>
      <c r="S25">
        <v>1</v>
      </c>
    </row>
    <row r="26" spans="1:19" x14ac:dyDescent="0.2">
      <c r="A26" s="2" t="s">
        <v>25</v>
      </c>
      <c r="B26" s="5" t="s">
        <v>43</v>
      </c>
      <c r="C26" s="18">
        <v>19</v>
      </c>
      <c r="D26" s="6" t="s">
        <v>59</v>
      </c>
      <c r="E26">
        <v>1</v>
      </c>
      <c r="F26">
        <f t="shared" si="0"/>
        <v>2</v>
      </c>
      <c r="J26" s="43" t="s">
        <v>18</v>
      </c>
      <c r="K26" s="6">
        <v>1</v>
      </c>
      <c r="L26" s="6" t="s">
        <v>90</v>
      </c>
      <c r="M26" s="6" t="s">
        <v>91</v>
      </c>
      <c r="N26" s="6" t="s">
        <v>138</v>
      </c>
      <c r="O26" s="6">
        <f>8+12</f>
        <v>20</v>
      </c>
      <c r="P26" s="6">
        <f t="shared" si="1"/>
        <v>67</v>
      </c>
      <c r="Q26">
        <f>_xlfn.XLOOKUP(J26, A:A, C:C)</f>
        <v>47</v>
      </c>
      <c r="R26">
        <v>0</v>
      </c>
      <c r="S26">
        <v>1</v>
      </c>
    </row>
    <row r="27" spans="1:19" x14ac:dyDescent="0.2">
      <c r="A27" s="2" t="s">
        <v>26</v>
      </c>
      <c r="B27" s="5" t="s">
        <v>43</v>
      </c>
      <c r="C27" s="31">
        <v>11.75</v>
      </c>
      <c r="D27" s="6" t="s">
        <v>73</v>
      </c>
      <c r="E27">
        <v>1</v>
      </c>
      <c r="F27">
        <f t="shared" si="0"/>
        <v>2</v>
      </c>
      <c r="J27" s="43" t="s">
        <v>18</v>
      </c>
      <c r="K27" s="6">
        <v>2</v>
      </c>
      <c r="L27" s="6" t="s">
        <v>91</v>
      </c>
      <c r="M27" s="6" t="s">
        <v>90</v>
      </c>
      <c r="N27" s="6" t="s">
        <v>121</v>
      </c>
      <c r="O27" s="6">
        <f>12</f>
        <v>12</v>
      </c>
      <c r="P27" s="6">
        <f t="shared" si="1"/>
        <v>59</v>
      </c>
      <c r="Q27">
        <f>_xlfn.XLOOKUP(J27, A:A, C:C)</f>
        <v>47</v>
      </c>
      <c r="R27">
        <v>0</v>
      </c>
      <c r="S27">
        <v>1</v>
      </c>
    </row>
    <row r="28" spans="1:19" x14ac:dyDescent="0.2">
      <c r="A28" s="2" t="s">
        <v>27</v>
      </c>
      <c r="B28" s="5" t="s">
        <v>43</v>
      </c>
      <c r="C28" s="32">
        <v>12.5</v>
      </c>
      <c r="D28" s="6" t="s">
        <v>74</v>
      </c>
      <c r="E28">
        <v>1</v>
      </c>
      <c r="F28">
        <f t="shared" si="0"/>
        <v>2</v>
      </c>
      <c r="J28" s="43" t="s">
        <v>20</v>
      </c>
      <c r="K28" s="6">
        <v>1</v>
      </c>
      <c r="L28" s="6" t="s">
        <v>90</v>
      </c>
      <c r="M28" s="6" t="s">
        <v>91</v>
      </c>
      <c r="N28" s="6"/>
      <c r="O28" s="6"/>
      <c r="P28" s="6"/>
      <c r="Q28">
        <f>_xlfn.XLOOKUP(J28, A:A, C:C)</f>
        <v>1.4</v>
      </c>
      <c r="R28">
        <v>0</v>
      </c>
      <c r="S28">
        <v>1</v>
      </c>
    </row>
    <row r="29" spans="1:19" x14ac:dyDescent="0.2">
      <c r="A29" s="2" t="s">
        <v>28</v>
      </c>
      <c r="B29" s="4" t="s">
        <v>46</v>
      </c>
      <c r="C29" s="30">
        <v>3.7166999999999999</v>
      </c>
      <c r="D29" s="6" t="s">
        <v>75</v>
      </c>
      <c r="E29">
        <v>2</v>
      </c>
      <c r="F29">
        <f t="shared" si="0"/>
        <v>4</v>
      </c>
      <c r="J29" s="43" t="s">
        <v>20</v>
      </c>
      <c r="K29" s="6">
        <v>2</v>
      </c>
      <c r="L29" s="6" t="s">
        <v>91</v>
      </c>
      <c r="M29" s="6" t="s">
        <v>90</v>
      </c>
      <c r="N29" s="6"/>
      <c r="O29" s="6"/>
      <c r="P29" s="6"/>
      <c r="Q29">
        <f>_xlfn.XLOOKUP(J29, A:A, C:C)</f>
        <v>1.4</v>
      </c>
      <c r="R29">
        <v>0</v>
      </c>
      <c r="S29">
        <v>1</v>
      </c>
    </row>
    <row r="30" spans="1:19" x14ac:dyDescent="0.2">
      <c r="A30" s="2" t="s">
        <v>29</v>
      </c>
      <c r="B30" s="4" t="s">
        <v>42</v>
      </c>
      <c r="C30" s="33">
        <v>6.5</v>
      </c>
      <c r="D30" s="6" t="s">
        <v>76</v>
      </c>
      <c r="E30" s="46" t="s">
        <v>104</v>
      </c>
      <c r="F30" s="47" t="s">
        <v>105</v>
      </c>
      <c r="G30" s="48" t="s">
        <v>99</v>
      </c>
      <c r="J30" s="43" t="s">
        <v>21</v>
      </c>
      <c r="K30" s="6">
        <v>1</v>
      </c>
      <c r="L30" s="6" t="s">
        <v>90</v>
      </c>
      <c r="M30" s="6" t="s">
        <v>91</v>
      </c>
      <c r="N30" s="6"/>
      <c r="O30" s="6"/>
      <c r="P30" s="6"/>
      <c r="Q30">
        <f>_xlfn.XLOOKUP(J30, A:A, C:C)</f>
        <v>4.2332999999999998</v>
      </c>
      <c r="R30">
        <v>0</v>
      </c>
      <c r="S30">
        <v>1</v>
      </c>
    </row>
    <row r="31" spans="1:19" x14ac:dyDescent="0.2">
      <c r="A31" s="2" t="s">
        <v>30</v>
      </c>
      <c r="B31" s="5" t="s">
        <v>43</v>
      </c>
      <c r="C31" s="34">
        <v>5.6666999999999996</v>
      </c>
      <c r="D31" s="6" t="s">
        <v>77</v>
      </c>
      <c r="E31">
        <v>1</v>
      </c>
      <c r="F31">
        <f t="shared" si="0"/>
        <v>2</v>
      </c>
      <c r="J31" s="43" t="s">
        <v>21</v>
      </c>
      <c r="K31" s="6">
        <v>2</v>
      </c>
      <c r="L31" s="6" t="s">
        <v>91</v>
      </c>
      <c r="M31" s="6" t="s">
        <v>90</v>
      </c>
      <c r="N31" s="6"/>
      <c r="O31" s="6"/>
      <c r="P31" s="6"/>
      <c r="Q31">
        <f>_xlfn.XLOOKUP(J31, A:A, C:C)</f>
        <v>4.2332999999999998</v>
      </c>
      <c r="R31">
        <v>0</v>
      </c>
      <c r="S31">
        <v>1</v>
      </c>
    </row>
    <row r="32" spans="1:19" x14ac:dyDescent="0.2">
      <c r="A32" s="2" t="s">
        <v>31</v>
      </c>
      <c r="B32" s="4" t="s">
        <v>42</v>
      </c>
      <c r="C32" s="32">
        <v>12.5</v>
      </c>
      <c r="D32" s="6" t="s">
        <v>74</v>
      </c>
      <c r="E32" s="44">
        <v>20</v>
      </c>
      <c r="F32" s="44">
        <f t="shared" si="0"/>
        <v>40</v>
      </c>
      <c r="J32" s="43" t="s">
        <v>22</v>
      </c>
      <c r="K32" s="6">
        <v>1</v>
      </c>
      <c r="L32" s="6" t="s">
        <v>90</v>
      </c>
      <c r="M32" s="6" t="s">
        <v>91</v>
      </c>
      <c r="N32" s="6"/>
      <c r="O32" s="6"/>
      <c r="P32" s="6"/>
      <c r="Q32">
        <f>_xlfn.XLOOKUP(J32, A:A, C:C)</f>
        <v>1.4833000000000001</v>
      </c>
      <c r="R32">
        <v>0</v>
      </c>
      <c r="S32">
        <v>1</v>
      </c>
    </row>
    <row r="33" spans="1:19" x14ac:dyDescent="0.2">
      <c r="A33" s="2" t="s">
        <v>32</v>
      </c>
      <c r="B33" s="4" t="s">
        <v>42</v>
      </c>
      <c r="C33" s="35">
        <v>9</v>
      </c>
      <c r="D33" s="6" t="s">
        <v>78</v>
      </c>
      <c r="E33" s="44">
        <v>14</v>
      </c>
      <c r="F33" s="44">
        <f t="shared" si="0"/>
        <v>28</v>
      </c>
      <c r="J33" s="43" t="s">
        <v>22</v>
      </c>
      <c r="K33" s="6">
        <v>2</v>
      </c>
      <c r="L33" s="6" t="s">
        <v>91</v>
      </c>
      <c r="M33" s="6" t="s">
        <v>90</v>
      </c>
      <c r="N33" s="6"/>
      <c r="O33" s="6"/>
      <c r="P33" s="6"/>
      <c r="Q33">
        <f>_xlfn.XLOOKUP(J33, A:A, C:C)</f>
        <v>1.4833000000000001</v>
      </c>
      <c r="R33">
        <v>0</v>
      </c>
      <c r="S33">
        <v>1</v>
      </c>
    </row>
    <row r="34" spans="1:19" x14ac:dyDescent="0.2">
      <c r="A34" s="2" t="s">
        <v>33</v>
      </c>
      <c r="B34" s="5" t="s">
        <v>43</v>
      </c>
      <c r="C34" s="36">
        <v>9.3332999999999995</v>
      </c>
      <c r="D34" s="6" t="s">
        <v>79</v>
      </c>
      <c r="E34">
        <v>1</v>
      </c>
      <c r="F34">
        <f t="shared" si="0"/>
        <v>2</v>
      </c>
      <c r="J34" s="43" t="s">
        <v>23</v>
      </c>
      <c r="K34" s="6">
        <v>1</v>
      </c>
      <c r="L34" s="6" t="s">
        <v>90</v>
      </c>
      <c r="M34" s="6" t="s">
        <v>91</v>
      </c>
      <c r="N34" s="6"/>
      <c r="O34" s="6"/>
      <c r="P34" s="6"/>
      <c r="Q34">
        <f>_xlfn.XLOOKUP(J34, A:A, C:C)</f>
        <v>5.5</v>
      </c>
      <c r="R34">
        <v>0</v>
      </c>
      <c r="S34">
        <v>1</v>
      </c>
    </row>
    <row r="35" spans="1:19" x14ac:dyDescent="0.2">
      <c r="A35" s="2" t="s">
        <v>34</v>
      </c>
      <c r="B35" s="5" t="s">
        <v>43</v>
      </c>
      <c r="C35" s="14">
        <v>3.1667000000000001</v>
      </c>
      <c r="D35" s="6" t="s">
        <v>80</v>
      </c>
      <c r="E35">
        <v>1</v>
      </c>
      <c r="F35">
        <f t="shared" si="0"/>
        <v>2</v>
      </c>
      <c r="J35" s="43" t="s">
        <v>23</v>
      </c>
      <c r="K35" s="6">
        <v>2</v>
      </c>
      <c r="L35" s="6" t="s">
        <v>91</v>
      </c>
      <c r="M35" s="6" t="s">
        <v>90</v>
      </c>
      <c r="N35" s="6"/>
      <c r="O35" s="6"/>
      <c r="P35" s="6"/>
      <c r="Q35">
        <f>_xlfn.XLOOKUP(J35, A:A, C:C)</f>
        <v>5.5</v>
      </c>
      <c r="R35">
        <v>0</v>
      </c>
      <c r="S35">
        <v>1</v>
      </c>
    </row>
    <row r="36" spans="1:19" x14ac:dyDescent="0.2">
      <c r="A36" s="2" t="s">
        <v>35</v>
      </c>
      <c r="B36" s="5" t="s">
        <v>43</v>
      </c>
      <c r="C36" s="37">
        <v>28</v>
      </c>
      <c r="D36" s="6" t="s">
        <v>81</v>
      </c>
      <c r="E36">
        <v>1</v>
      </c>
      <c r="F36">
        <f t="shared" si="0"/>
        <v>2</v>
      </c>
      <c r="J36" s="43" t="s">
        <v>24</v>
      </c>
      <c r="K36" s="6">
        <v>1</v>
      </c>
      <c r="L36" s="6" t="s">
        <v>90</v>
      </c>
      <c r="M36" s="6" t="s">
        <v>91</v>
      </c>
      <c r="N36" s="6"/>
      <c r="O36" s="6"/>
      <c r="P36" s="6"/>
      <c r="Q36">
        <f>_xlfn.XLOOKUP(J36, A:A, C:C)</f>
        <v>3.8332999999999999</v>
      </c>
      <c r="R36">
        <v>0</v>
      </c>
      <c r="S36">
        <v>1</v>
      </c>
    </row>
    <row r="37" spans="1:19" x14ac:dyDescent="0.2">
      <c r="A37" s="2" t="s">
        <v>36</v>
      </c>
      <c r="B37" s="5" t="s">
        <v>43</v>
      </c>
      <c r="C37" s="38">
        <v>40</v>
      </c>
      <c r="D37" s="6" t="s">
        <v>82</v>
      </c>
      <c r="E37">
        <v>1</v>
      </c>
      <c r="F37">
        <f t="shared" si="0"/>
        <v>2</v>
      </c>
      <c r="J37" s="43" t="s">
        <v>24</v>
      </c>
      <c r="K37" s="6">
        <v>2</v>
      </c>
      <c r="L37" s="6" t="s">
        <v>91</v>
      </c>
      <c r="M37" s="6" t="s">
        <v>90</v>
      </c>
      <c r="N37" s="6"/>
      <c r="O37" s="6"/>
      <c r="P37" s="6"/>
      <c r="Q37">
        <f>_xlfn.XLOOKUP(J37, A:A, C:C)</f>
        <v>3.8332999999999999</v>
      </c>
      <c r="R37">
        <v>0</v>
      </c>
      <c r="S37">
        <v>1</v>
      </c>
    </row>
    <row r="38" spans="1:19" x14ac:dyDescent="0.2">
      <c r="A38" s="2" t="s">
        <v>37</v>
      </c>
      <c r="B38" s="7" t="s">
        <v>45</v>
      </c>
      <c r="C38" s="39">
        <v>48</v>
      </c>
      <c r="D38" s="6" t="s">
        <v>83</v>
      </c>
      <c r="E38">
        <v>1</v>
      </c>
      <c r="F38">
        <f t="shared" si="0"/>
        <v>2</v>
      </c>
      <c r="J38" s="43" t="s">
        <v>25</v>
      </c>
      <c r="K38" s="6">
        <v>1</v>
      </c>
      <c r="L38" s="6" t="s">
        <v>90</v>
      </c>
      <c r="M38" s="6" t="s">
        <v>91</v>
      </c>
      <c r="N38" s="6"/>
      <c r="O38" s="6"/>
      <c r="P38" s="6"/>
      <c r="Q38">
        <f>_xlfn.XLOOKUP(J38, A:A, C:C)</f>
        <v>19</v>
      </c>
      <c r="R38">
        <v>0</v>
      </c>
      <c r="S38">
        <v>1</v>
      </c>
    </row>
    <row r="39" spans="1:19" x14ac:dyDescent="0.2">
      <c r="A39" s="2" t="s">
        <v>38</v>
      </c>
      <c r="B39" s="5" t="s">
        <v>43</v>
      </c>
      <c r="C39" s="40">
        <v>32.417000000000002</v>
      </c>
      <c r="D39" s="6" t="s">
        <v>84</v>
      </c>
      <c r="E39">
        <v>1</v>
      </c>
      <c r="F39">
        <f t="shared" si="0"/>
        <v>2</v>
      </c>
      <c r="J39" s="43" t="s">
        <v>25</v>
      </c>
      <c r="K39" s="6">
        <v>2</v>
      </c>
      <c r="L39" s="6" t="s">
        <v>91</v>
      </c>
      <c r="M39" s="6" t="s">
        <v>90</v>
      </c>
      <c r="N39" s="6"/>
      <c r="O39" s="6"/>
      <c r="P39" s="6"/>
      <c r="Q39">
        <f>_xlfn.XLOOKUP(J39, A:A, C:C)</f>
        <v>19</v>
      </c>
      <c r="R39">
        <v>0</v>
      </c>
      <c r="S39">
        <v>1</v>
      </c>
    </row>
    <row r="40" spans="1:19" x14ac:dyDescent="0.2">
      <c r="A40" s="2" t="s">
        <v>39</v>
      </c>
      <c r="B40" s="4" t="s">
        <v>42</v>
      </c>
      <c r="C40" s="41">
        <v>2.8</v>
      </c>
      <c r="D40" s="6" t="s">
        <v>85</v>
      </c>
      <c r="E40" s="44">
        <v>2</v>
      </c>
      <c r="F40" s="44">
        <f t="shared" si="0"/>
        <v>4</v>
      </c>
      <c r="J40" s="43" t="s">
        <v>26</v>
      </c>
      <c r="K40" s="6">
        <v>1</v>
      </c>
      <c r="L40" s="6" t="s">
        <v>90</v>
      </c>
      <c r="M40" s="6" t="s">
        <v>91</v>
      </c>
      <c r="N40" s="6"/>
      <c r="O40" s="6"/>
      <c r="P40" s="6"/>
      <c r="Q40">
        <f>_xlfn.XLOOKUP(J40, A:A, C:C)</f>
        <v>11.75</v>
      </c>
      <c r="R40">
        <v>0</v>
      </c>
      <c r="S40">
        <v>1</v>
      </c>
    </row>
    <row r="41" spans="1:19" x14ac:dyDescent="0.2">
      <c r="A41" s="2" t="s">
        <v>40</v>
      </c>
      <c r="B41" s="5" t="s">
        <v>43</v>
      </c>
      <c r="C41" s="42">
        <v>13.75</v>
      </c>
      <c r="D41" s="6" t="s">
        <v>86</v>
      </c>
      <c r="E41">
        <v>1</v>
      </c>
      <c r="F41">
        <f t="shared" si="0"/>
        <v>2</v>
      </c>
      <c r="J41" s="43" t="s">
        <v>26</v>
      </c>
      <c r="K41" s="6">
        <v>2</v>
      </c>
      <c r="L41" s="6" t="s">
        <v>91</v>
      </c>
      <c r="M41" s="6" t="s">
        <v>90</v>
      </c>
      <c r="N41" s="6"/>
      <c r="O41" s="6"/>
      <c r="P41" s="6"/>
      <c r="Q41">
        <f>_xlfn.XLOOKUP(J41, A:A, C:C)</f>
        <v>11.75</v>
      </c>
      <c r="R41">
        <v>0</v>
      </c>
      <c r="S41">
        <v>1</v>
      </c>
    </row>
    <row r="42" spans="1:19" x14ac:dyDescent="0.2">
      <c r="J42" s="43" t="s">
        <v>27</v>
      </c>
      <c r="K42" s="6">
        <v>1</v>
      </c>
      <c r="L42" s="6" t="s">
        <v>90</v>
      </c>
      <c r="M42" s="6" t="s">
        <v>91</v>
      </c>
      <c r="N42" s="6"/>
      <c r="O42" s="6"/>
      <c r="P42" s="6"/>
      <c r="Q42">
        <f>_xlfn.XLOOKUP(J42, A:A, C:C)</f>
        <v>12.5</v>
      </c>
      <c r="R42">
        <v>0</v>
      </c>
      <c r="S42">
        <v>1</v>
      </c>
    </row>
    <row r="43" spans="1:19" x14ac:dyDescent="0.2">
      <c r="J43" s="43" t="s">
        <v>27</v>
      </c>
      <c r="K43" s="6">
        <v>2</v>
      </c>
      <c r="L43" s="6" t="s">
        <v>91</v>
      </c>
      <c r="M43" s="6" t="s">
        <v>90</v>
      </c>
      <c r="N43" s="6"/>
      <c r="O43" s="6"/>
      <c r="P43" s="6"/>
      <c r="Q43">
        <f>_xlfn.XLOOKUP(J43, A:A, C:C)</f>
        <v>12.5</v>
      </c>
      <c r="R43">
        <v>0</v>
      </c>
      <c r="S43">
        <v>1</v>
      </c>
    </row>
    <row r="44" spans="1:19" x14ac:dyDescent="0.2">
      <c r="J44" s="43" t="s">
        <v>28</v>
      </c>
      <c r="K44" s="6">
        <v>1</v>
      </c>
      <c r="L44" s="6" t="s">
        <v>90</v>
      </c>
      <c r="M44" s="6" t="s">
        <v>91</v>
      </c>
      <c r="N44" s="6"/>
      <c r="O44" s="6"/>
      <c r="P44" s="6"/>
      <c r="Q44">
        <f>_xlfn.XLOOKUP(J44, A:A, C:C)</f>
        <v>3.7166999999999999</v>
      </c>
      <c r="R44">
        <v>0</v>
      </c>
      <c r="S44">
        <v>1</v>
      </c>
    </row>
    <row r="45" spans="1:19" x14ac:dyDescent="0.2">
      <c r="J45" s="43" t="s">
        <v>28</v>
      </c>
      <c r="K45" s="6">
        <v>2</v>
      </c>
      <c r="L45" s="6" t="s">
        <v>91</v>
      </c>
      <c r="M45" s="6" t="s">
        <v>90</v>
      </c>
      <c r="N45" s="6"/>
      <c r="O45" s="6"/>
      <c r="P45" s="6"/>
      <c r="Q45">
        <f>_xlfn.XLOOKUP(J45, A:A, C:C)</f>
        <v>3.7166999999999999</v>
      </c>
      <c r="R45">
        <v>0</v>
      </c>
      <c r="S45">
        <v>1</v>
      </c>
    </row>
    <row r="46" spans="1:19" x14ac:dyDescent="0.2">
      <c r="J46" s="43" t="s">
        <v>29</v>
      </c>
      <c r="K46" s="6">
        <v>1</v>
      </c>
      <c r="L46" s="6" t="s">
        <v>90</v>
      </c>
      <c r="M46" s="6" t="s">
        <v>91</v>
      </c>
      <c r="N46" s="6"/>
      <c r="O46" s="6"/>
      <c r="P46" s="6"/>
      <c r="Q46">
        <f>_xlfn.XLOOKUP(J46, A:A, C:C)</f>
        <v>6.5</v>
      </c>
      <c r="R46">
        <v>0</v>
      </c>
      <c r="S46">
        <v>1</v>
      </c>
    </row>
    <row r="47" spans="1:19" x14ac:dyDescent="0.2">
      <c r="J47" s="43" t="s">
        <v>29</v>
      </c>
      <c r="K47" s="6">
        <v>2</v>
      </c>
      <c r="L47" s="6" t="s">
        <v>91</v>
      </c>
      <c r="M47" s="6" t="s">
        <v>90</v>
      </c>
      <c r="N47" s="6"/>
      <c r="O47" s="6"/>
      <c r="P47" s="6"/>
      <c r="Q47">
        <f>_xlfn.XLOOKUP(J47, A:A, C:C)</f>
        <v>6.5</v>
      </c>
      <c r="R47">
        <v>0</v>
      </c>
      <c r="S47">
        <v>1</v>
      </c>
    </row>
    <row r="48" spans="1:19" x14ac:dyDescent="0.2">
      <c r="J48" s="43" t="s">
        <v>30</v>
      </c>
      <c r="K48" s="6">
        <v>1</v>
      </c>
      <c r="L48" s="6" t="s">
        <v>90</v>
      </c>
      <c r="M48" s="6" t="s">
        <v>91</v>
      </c>
      <c r="N48" s="6"/>
      <c r="O48" s="6"/>
      <c r="P48" s="6"/>
      <c r="Q48">
        <f>_xlfn.XLOOKUP(J48, A:A, C:C)</f>
        <v>5.6666999999999996</v>
      </c>
      <c r="R48">
        <v>0</v>
      </c>
      <c r="S48">
        <v>1</v>
      </c>
    </row>
    <row r="49" spans="10:19" x14ac:dyDescent="0.2">
      <c r="J49" s="43" t="s">
        <v>30</v>
      </c>
      <c r="K49" s="6">
        <v>2</v>
      </c>
      <c r="L49" s="6" t="s">
        <v>91</v>
      </c>
      <c r="M49" s="6" t="s">
        <v>90</v>
      </c>
      <c r="N49" s="6"/>
      <c r="O49" s="6"/>
      <c r="P49" s="6"/>
      <c r="Q49">
        <f>_xlfn.XLOOKUP(J49, A:A, C:C)</f>
        <v>5.6666999999999996</v>
      </c>
      <c r="R49">
        <v>0</v>
      </c>
      <c r="S49">
        <v>1</v>
      </c>
    </row>
    <row r="50" spans="10:19" x14ac:dyDescent="0.2">
      <c r="J50" s="43" t="s">
        <v>31</v>
      </c>
      <c r="K50" s="6">
        <v>1</v>
      </c>
      <c r="L50" s="6" t="s">
        <v>90</v>
      </c>
      <c r="M50" s="6" t="s">
        <v>91</v>
      </c>
      <c r="N50" s="6"/>
      <c r="O50" s="6"/>
      <c r="P50" s="6"/>
      <c r="Q50">
        <f>_xlfn.XLOOKUP(J50, A:A, C:C)</f>
        <v>12.5</v>
      </c>
      <c r="R50">
        <v>0</v>
      </c>
      <c r="S50">
        <v>1</v>
      </c>
    </row>
    <row r="51" spans="10:19" x14ac:dyDescent="0.2">
      <c r="J51" s="43" t="s">
        <v>31</v>
      </c>
      <c r="K51" s="6">
        <v>2</v>
      </c>
      <c r="L51" s="6" t="s">
        <v>91</v>
      </c>
      <c r="M51" s="6" t="s">
        <v>90</v>
      </c>
      <c r="N51" s="6"/>
      <c r="O51" s="6"/>
      <c r="P51" s="6"/>
      <c r="Q51">
        <f>_xlfn.XLOOKUP(J51, A:A, C:C)</f>
        <v>12.5</v>
      </c>
      <c r="R51">
        <v>0</v>
      </c>
      <c r="S51">
        <v>1</v>
      </c>
    </row>
    <row r="52" spans="10:19" x14ac:dyDescent="0.2">
      <c r="J52" s="43" t="s">
        <v>32</v>
      </c>
      <c r="K52" s="6">
        <v>1</v>
      </c>
      <c r="L52" s="6" t="s">
        <v>90</v>
      </c>
      <c r="M52" s="6" t="s">
        <v>91</v>
      </c>
      <c r="N52" s="6"/>
      <c r="O52" s="6"/>
      <c r="P52" s="6"/>
      <c r="Q52">
        <f>_xlfn.XLOOKUP(J52, A:A, C:C)</f>
        <v>9</v>
      </c>
      <c r="R52">
        <v>0</v>
      </c>
      <c r="S52">
        <v>1</v>
      </c>
    </row>
    <row r="53" spans="10:19" x14ac:dyDescent="0.2">
      <c r="J53" s="43" t="s">
        <v>32</v>
      </c>
      <c r="K53" s="6">
        <v>2</v>
      </c>
      <c r="L53" s="6" t="s">
        <v>91</v>
      </c>
      <c r="M53" s="6" t="s">
        <v>90</v>
      </c>
      <c r="N53" s="6"/>
      <c r="O53" s="6"/>
      <c r="P53" s="6"/>
      <c r="Q53">
        <f>_xlfn.XLOOKUP(J53, A:A, C:C)</f>
        <v>9</v>
      </c>
      <c r="R53">
        <v>0</v>
      </c>
      <c r="S53">
        <v>1</v>
      </c>
    </row>
    <row r="54" spans="10:19" x14ac:dyDescent="0.2">
      <c r="J54" s="43" t="s">
        <v>33</v>
      </c>
      <c r="K54" s="6">
        <v>1</v>
      </c>
      <c r="L54" s="6" t="s">
        <v>90</v>
      </c>
      <c r="M54" s="6" t="s">
        <v>91</v>
      </c>
      <c r="N54" s="6"/>
      <c r="O54" s="6"/>
      <c r="P54" s="6"/>
      <c r="Q54">
        <f>_xlfn.XLOOKUP(J54, A:A, C:C)</f>
        <v>9.3332999999999995</v>
      </c>
      <c r="R54">
        <v>0</v>
      </c>
      <c r="S54">
        <v>1</v>
      </c>
    </row>
    <row r="55" spans="10:19" x14ac:dyDescent="0.2">
      <c r="J55" s="43" t="s">
        <v>33</v>
      </c>
      <c r="K55" s="6">
        <v>2</v>
      </c>
      <c r="L55" s="6" t="s">
        <v>91</v>
      </c>
      <c r="M55" s="6" t="s">
        <v>90</v>
      </c>
      <c r="N55" s="6"/>
      <c r="O55" s="6"/>
      <c r="P55" s="6"/>
      <c r="Q55">
        <f>_xlfn.XLOOKUP(J55, A:A, C:C)</f>
        <v>9.3332999999999995</v>
      </c>
      <c r="R55">
        <v>0</v>
      </c>
      <c r="S55">
        <v>1</v>
      </c>
    </row>
    <row r="56" spans="10:19" x14ac:dyDescent="0.2">
      <c r="J56" s="43" t="s">
        <v>34</v>
      </c>
      <c r="K56" s="6">
        <v>1</v>
      </c>
      <c r="L56" s="6" t="s">
        <v>90</v>
      </c>
      <c r="M56" s="6" t="s">
        <v>91</v>
      </c>
      <c r="N56" s="6"/>
      <c r="O56" s="6"/>
      <c r="P56" s="6"/>
      <c r="Q56">
        <f>_xlfn.XLOOKUP(J56, A:A, C:C)</f>
        <v>3.1667000000000001</v>
      </c>
      <c r="R56">
        <v>0</v>
      </c>
      <c r="S56">
        <v>1</v>
      </c>
    </row>
    <row r="57" spans="10:19" x14ac:dyDescent="0.2">
      <c r="J57" s="43" t="s">
        <v>34</v>
      </c>
      <c r="K57" s="6">
        <v>2</v>
      </c>
      <c r="L57" s="6" t="s">
        <v>91</v>
      </c>
      <c r="M57" s="6" t="s">
        <v>90</v>
      </c>
      <c r="N57" s="6"/>
      <c r="O57" s="6"/>
      <c r="P57" s="6"/>
      <c r="Q57">
        <f>_xlfn.XLOOKUP(J57, A:A, C:C)</f>
        <v>3.1667000000000001</v>
      </c>
      <c r="R57">
        <v>0</v>
      </c>
      <c r="S57">
        <v>1</v>
      </c>
    </row>
    <row r="58" spans="10:19" x14ac:dyDescent="0.2">
      <c r="J58" s="43" t="s">
        <v>35</v>
      </c>
      <c r="K58" s="6">
        <v>1</v>
      </c>
      <c r="L58" s="6" t="s">
        <v>90</v>
      </c>
      <c r="M58" s="6" t="s">
        <v>91</v>
      </c>
      <c r="N58" s="6"/>
      <c r="O58" s="6"/>
      <c r="P58" s="6"/>
      <c r="Q58">
        <f>_xlfn.XLOOKUP(J58, A:A, C:C)</f>
        <v>28</v>
      </c>
      <c r="R58">
        <v>0</v>
      </c>
      <c r="S58">
        <v>1</v>
      </c>
    </row>
    <row r="59" spans="10:19" x14ac:dyDescent="0.2">
      <c r="J59" s="43" t="s">
        <v>35</v>
      </c>
      <c r="K59" s="6">
        <v>2</v>
      </c>
      <c r="L59" s="6" t="s">
        <v>91</v>
      </c>
      <c r="M59" s="6" t="s">
        <v>90</v>
      </c>
      <c r="N59" s="6"/>
      <c r="O59" s="6"/>
      <c r="P59" s="6"/>
      <c r="Q59">
        <f>_xlfn.XLOOKUP(J59, A:A, C:C)</f>
        <v>28</v>
      </c>
      <c r="R59">
        <v>0</v>
      </c>
      <c r="S59">
        <v>1</v>
      </c>
    </row>
    <row r="60" spans="10:19" x14ac:dyDescent="0.2">
      <c r="J60" s="43" t="s">
        <v>36</v>
      </c>
      <c r="K60" s="6">
        <v>1</v>
      </c>
      <c r="L60" s="6" t="s">
        <v>90</v>
      </c>
      <c r="M60" s="6" t="s">
        <v>91</v>
      </c>
      <c r="N60" s="6"/>
      <c r="O60" s="6"/>
      <c r="P60" s="6"/>
      <c r="Q60">
        <f>_xlfn.XLOOKUP(J60, A:A, C:C)</f>
        <v>40</v>
      </c>
      <c r="R60">
        <v>0</v>
      </c>
      <c r="S60">
        <v>1</v>
      </c>
    </row>
    <row r="61" spans="10:19" x14ac:dyDescent="0.2">
      <c r="J61" s="43" t="s">
        <v>36</v>
      </c>
      <c r="K61" s="6">
        <v>2</v>
      </c>
      <c r="L61" s="6" t="s">
        <v>91</v>
      </c>
      <c r="M61" s="6" t="s">
        <v>90</v>
      </c>
      <c r="N61" s="6"/>
      <c r="O61" s="6"/>
      <c r="P61" s="6"/>
      <c r="Q61">
        <f>_xlfn.XLOOKUP(J61, A:A, C:C)</f>
        <v>40</v>
      </c>
      <c r="R61">
        <v>0</v>
      </c>
      <c r="S61">
        <v>1</v>
      </c>
    </row>
    <row r="62" spans="10:19" x14ac:dyDescent="0.2">
      <c r="J62" s="43" t="s">
        <v>37</v>
      </c>
      <c r="K62" s="6">
        <v>1</v>
      </c>
      <c r="L62" s="6" t="s">
        <v>90</v>
      </c>
      <c r="M62" s="6" t="s">
        <v>91</v>
      </c>
      <c r="N62" s="6"/>
      <c r="O62" s="6"/>
      <c r="P62" s="6"/>
      <c r="Q62">
        <f>_xlfn.XLOOKUP(J62, A:A, C:C)</f>
        <v>48</v>
      </c>
      <c r="R62">
        <v>0</v>
      </c>
      <c r="S62">
        <v>1</v>
      </c>
    </row>
    <row r="63" spans="10:19" x14ac:dyDescent="0.2">
      <c r="J63" s="43" t="s">
        <v>37</v>
      </c>
      <c r="K63" s="6">
        <v>2</v>
      </c>
      <c r="L63" s="6" t="s">
        <v>91</v>
      </c>
      <c r="M63" s="6" t="s">
        <v>90</v>
      </c>
      <c r="N63" s="6"/>
      <c r="O63" s="6"/>
      <c r="P63" s="6"/>
      <c r="Q63">
        <f>_xlfn.XLOOKUP(J63, A:A, C:C)</f>
        <v>48</v>
      </c>
      <c r="R63">
        <v>0</v>
      </c>
      <c r="S63">
        <v>1</v>
      </c>
    </row>
    <row r="64" spans="10:19" x14ac:dyDescent="0.2">
      <c r="J64" s="43" t="s">
        <v>38</v>
      </c>
      <c r="K64" s="6">
        <v>1</v>
      </c>
      <c r="L64" s="6" t="s">
        <v>90</v>
      </c>
      <c r="M64" s="6" t="s">
        <v>91</v>
      </c>
      <c r="N64" s="6"/>
      <c r="O64" s="6"/>
      <c r="P64" s="6"/>
      <c r="Q64">
        <f>_xlfn.XLOOKUP(J64, A:A, C:C)</f>
        <v>32.417000000000002</v>
      </c>
      <c r="R64">
        <v>0</v>
      </c>
      <c r="S64">
        <v>1</v>
      </c>
    </row>
    <row r="65" spans="10:19" x14ac:dyDescent="0.2">
      <c r="J65" s="43" t="s">
        <v>38</v>
      </c>
      <c r="K65" s="6">
        <v>2</v>
      </c>
      <c r="L65" s="6" t="s">
        <v>91</v>
      </c>
      <c r="M65" s="6" t="s">
        <v>90</v>
      </c>
      <c r="N65" s="6"/>
      <c r="O65" s="6"/>
      <c r="P65" s="6"/>
      <c r="Q65">
        <f>_xlfn.XLOOKUP(J65, A:A, C:C)</f>
        <v>32.417000000000002</v>
      </c>
      <c r="R65">
        <v>0</v>
      </c>
      <c r="S65">
        <v>1</v>
      </c>
    </row>
    <row r="66" spans="10:19" x14ac:dyDescent="0.2">
      <c r="J66" s="43" t="s">
        <v>40</v>
      </c>
      <c r="K66" s="6">
        <v>1</v>
      </c>
      <c r="L66" s="6" t="s">
        <v>90</v>
      </c>
      <c r="M66" s="6" t="s">
        <v>91</v>
      </c>
      <c r="N66" s="6"/>
      <c r="O66" s="6"/>
      <c r="P66" s="6"/>
      <c r="Q66">
        <f>_xlfn.XLOOKUP(J66, A:A, C:C)</f>
        <v>13.75</v>
      </c>
      <c r="R66">
        <v>0</v>
      </c>
      <c r="S66">
        <v>1</v>
      </c>
    </row>
    <row r="67" spans="10:19" x14ac:dyDescent="0.2">
      <c r="J67" s="50" t="s">
        <v>40</v>
      </c>
      <c r="K67" s="51">
        <v>2</v>
      </c>
      <c r="L67" s="51" t="s">
        <v>91</v>
      </c>
      <c r="M67" s="51" t="s">
        <v>90</v>
      </c>
      <c r="N67" s="51"/>
      <c r="O67" s="51"/>
      <c r="P67" s="51"/>
      <c r="Q67" s="54">
        <f>_xlfn.XLOOKUP(J67, A:A, C:C)</f>
        <v>13.75</v>
      </c>
      <c r="R67">
        <v>0</v>
      </c>
      <c r="S67">
        <v>1</v>
      </c>
    </row>
    <row r="68" spans="10:19" x14ac:dyDescent="0.2">
      <c r="J68" s="2" t="s">
        <v>39</v>
      </c>
      <c r="K68" s="52">
        <v>1</v>
      </c>
      <c r="L68" s="6" t="s">
        <v>90</v>
      </c>
      <c r="M68" s="6" t="s">
        <v>91</v>
      </c>
      <c r="N68" s="6"/>
      <c r="Q68" s="54">
        <f t="shared" ref="Q68:Q109" si="2">_xlfn.XLOOKUP(J68, A:A, C:C)</f>
        <v>2.8</v>
      </c>
      <c r="R68">
        <v>0</v>
      </c>
      <c r="S68">
        <v>1</v>
      </c>
    </row>
    <row r="69" spans="10:19" x14ac:dyDescent="0.2">
      <c r="J69" s="2" t="s">
        <v>39</v>
      </c>
      <c r="K69" s="52">
        <v>2</v>
      </c>
      <c r="L69" s="6" t="s">
        <v>90</v>
      </c>
      <c r="M69" s="6" t="s">
        <v>91</v>
      </c>
      <c r="N69" s="6"/>
      <c r="Q69" s="54">
        <f t="shared" si="2"/>
        <v>2.8</v>
      </c>
      <c r="R69">
        <v>0</v>
      </c>
      <c r="S69">
        <v>1</v>
      </c>
    </row>
    <row r="70" spans="10:19" x14ac:dyDescent="0.2">
      <c r="J70" s="2" t="s">
        <v>39</v>
      </c>
      <c r="K70" s="52">
        <v>3</v>
      </c>
      <c r="L70" s="6" t="s">
        <v>91</v>
      </c>
      <c r="M70" s="6" t="s">
        <v>90</v>
      </c>
      <c r="N70" s="6"/>
      <c r="Q70" s="54">
        <f t="shared" si="2"/>
        <v>2.8</v>
      </c>
      <c r="R70">
        <v>0</v>
      </c>
      <c r="S70">
        <v>1</v>
      </c>
    </row>
    <row r="71" spans="10:19" x14ac:dyDescent="0.2">
      <c r="J71" s="2" t="s">
        <v>39</v>
      </c>
      <c r="K71" s="52">
        <v>4</v>
      </c>
      <c r="L71" s="6" t="s">
        <v>91</v>
      </c>
      <c r="M71" s="6" t="s">
        <v>90</v>
      </c>
      <c r="N71" s="6"/>
      <c r="Q71" s="54">
        <f t="shared" si="2"/>
        <v>2.8</v>
      </c>
      <c r="R71">
        <v>0</v>
      </c>
      <c r="S71">
        <v>1</v>
      </c>
    </row>
    <row r="72" spans="10:19" x14ac:dyDescent="0.2">
      <c r="J72" s="2" t="s">
        <v>32</v>
      </c>
      <c r="K72" s="52">
        <v>1</v>
      </c>
      <c r="L72" s="6" t="s">
        <v>90</v>
      </c>
      <c r="M72" s="6" t="s">
        <v>91</v>
      </c>
      <c r="N72" s="6"/>
      <c r="Q72" s="54">
        <f t="shared" si="2"/>
        <v>9</v>
      </c>
      <c r="R72">
        <v>0</v>
      </c>
      <c r="S72">
        <v>1</v>
      </c>
    </row>
    <row r="73" spans="10:19" x14ac:dyDescent="0.2">
      <c r="J73" s="2" t="s">
        <v>32</v>
      </c>
      <c r="K73" s="52">
        <v>2</v>
      </c>
      <c r="L73" s="6" t="s">
        <v>90</v>
      </c>
      <c r="M73" s="6" t="s">
        <v>91</v>
      </c>
      <c r="N73" s="6"/>
      <c r="Q73" s="54">
        <f t="shared" si="2"/>
        <v>9</v>
      </c>
      <c r="R73">
        <v>0</v>
      </c>
      <c r="S73">
        <v>1</v>
      </c>
    </row>
    <row r="74" spans="10:19" x14ac:dyDescent="0.2">
      <c r="J74" s="2" t="s">
        <v>32</v>
      </c>
      <c r="K74" s="52">
        <v>3</v>
      </c>
      <c r="L74" s="6" t="s">
        <v>90</v>
      </c>
      <c r="M74" s="6" t="s">
        <v>91</v>
      </c>
      <c r="N74" s="6"/>
      <c r="Q74" s="54">
        <f t="shared" si="2"/>
        <v>9</v>
      </c>
      <c r="R74">
        <v>0</v>
      </c>
      <c r="S74">
        <v>1</v>
      </c>
    </row>
    <row r="75" spans="10:19" x14ac:dyDescent="0.2">
      <c r="J75" s="2" t="s">
        <v>32</v>
      </c>
      <c r="K75" s="52">
        <v>4</v>
      </c>
      <c r="L75" s="6" t="s">
        <v>90</v>
      </c>
      <c r="M75" s="6" t="s">
        <v>91</v>
      </c>
      <c r="N75" s="6"/>
      <c r="Q75" s="54">
        <f t="shared" si="2"/>
        <v>9</v>
      </c>
      <c r="R75">
        <v>0</v>
      </c>
      <c r="S75">
        <v>1</v>
      </c>
    </row>
    <row r="76" spans="10:19" x14ac:dyDescent="0.2">
      <c r="J76" s="2" t="s">
        <v>32</v>
      </c>
      <c r="K76" s="52">
        <v>5</v>
      </c>
      <c r="L76" s="6" t="s">
        <v>90</v>
      </c>
      <c r="M76" s="6" t="s">
        <v>91</v>
      </c>
      <c r="N76" s="6"/>
      <c r="Q76" s="54">
        <f t="shared" si="2"/>
        <v>9</v>
      </c>
      <c r="R76">
        <v>0</v>
      </c>
      <c r="S76">
        <v>1</v>
      </c>
    </row>
    <row r="77" spans="10:19" x14ac:dyDescent="0.2">
      <c r="J77" s="2" t="s">
        <v>32</v>
      </c>
      <c r="K77" s="52">
        <v>6</v>
      </c>
      <c r="L77" s="6" t="s">
        <v>90</v>
      </c>
      <c r="M77" s="6" t="s">
        <v>91</v>
      </c>
      <c r="N77" s="6"/>
      <c r="Q77" s="54">
        <f t="shared" si="2"/>
        <v>9</v>
      </c>
      <c r="R77">
        <v>0</v>
      </c>
      <c r="S77">
        <v>1</v>
      </c>
    </row>
    <row r="78" spans="10:19" x14ac:dyDescent="0.2">
      <c r="J78" s="2" t="s">
        <v>32</v>
      </c>
      <c r="K78" s="52">
        <v>7</v>
      </c>
      <c r="L78" s="6" t="s">
        <v>90</v>
      </c>
      <c r="M78" s="6" t="s">
        <v>91</v>
      </c>
      <c r="N78" s="6"/>
      <c r="Q78" s="54">
        <f t="shared" si="2"/>
        <v>9</v>
      </c>
      <c r="R78">
        <v>0</v>
      </c>
      <c r="S78">
        <v>1</v>
      </c>
    </row>
    <row r="79" spans="10:19" x14ac:dyDescent="0.2">
      <c r="J79" s="2" t="s">
        <v>32</v>
      </c>
      <c r="K79" s="52">
        <v>8</v>
      </c>
      <c r="L79" s="6" t="s">
        <v>90</v>
      </c>
      <c r="M79" s="6" t="s">
        <v>91</v>
      </c>
      <c r="N79" s="6"/>
      <c r="Q79" s="54">
        <f t="shared" si="2"/>
        <v>9</v>
      </c>
      <c r="R79">
        <v>0</v>
      </c>
      <c r="S79">
        <v>1</v>
      </c>
    </row>
    <row r="80" spans="10:19" x14ac:dyDescent="0.2">
      <c r="J80" s="2" t="s">
        <v>32</v>
      </c>
      <c r="K80" s="52">
        <v>9</v>
      </c>
      <c r="L80" s="6" t="s">
        <v>90</v>
      </c>
      <c r="M80" s="6" t="s">
        <v>91</v>
      </c>
      <c r="N80" s="6"/>
      <c r="Q80" s="54">
        <f t="shared" si="2"/>
        <v>9</v>
      </c>
      <c r="R80">
        <v>0</v>
      </c>
      <c r="S80">
        <v>1</v>
      </c>
    </row>
    <row r="81" spans="8:19" x14ac:dyDescent="0.2">
      <c r="I81" s="2"/>
      <c r="J81" s="2" t="s">
        <v>32</v>
      </c>
      <c r="K81" s="52">
        <v>10</v>
      </c>
      <c r="L81" s="6" t="s">
        <v>90</v>
      </c>
      <c r="M81" s="6" t="s">
        <v>91</v>
      </c>
      <c r="N81" s="6"/>
      <c r="Q81" s="54">
        <f t="shared" si="2"/>
        <v>9</v>
      </c>
      <c r="R81">
        <v>0</v>
      </c>
      <c r="S81">
        <v>1</v>
      </c>
    </row>
    <row r="82" spans="8:19" x14ac:dyDescent="0.2">
      <c r="I82" s="2"/>
      <c r="J82" s="2" t="s">
        <v>32</v>
      </c>
      <c r="K82" s="52">
        <v>11</v>
      </c>
      <c r="L82" s="6" t="s">
        <v>90</v>
      </c>
      <c r="M82" s="6" t="s">
        <v>91</v>
      </c>
      <c r="N82" s="6"/>
      <c r="Q82" s="54">
        <f t="shared" si="2"/>
        <v>9</v>
      </c>
      <c r="R82">
        <v>0</v>
      </c>
      <c r="S82">
        <v>1</v>
      </c>
    </row>
    <row r="83" spans="8:19" x14ac:dyDescent="0.2">
      <c r="I83" s="2"/>
      <c r="J83" s="2" t="s">
        <v>32</v>
      </c>
      <c r="K83" s="52">
        <v>12</v>
      </c>
      <c r="L83" s="6" t="s">
        <v>90</v>
      </c>
      <c r="M83" s="6" t="s">
        <v>91</v>
      </c>
      <c r="N83" s="6"/>
      <c r="Q83" s="54">
        <f t="shared" si="2"/>
        <v>9</v>
      </c>
      <c r="R83">
        <v>0</v>
      </c>
      <c r="S83">
        <v>1</v>
      </c>
    </row>
    <row r="84" spans="8:19" x14ac:dyDescent="0.2">
      <c r="H84" s="2"/>
      <c r="I84" s="2"/>
      <c r="J84" s="2" t="s">
        <v>32</v>
      </c>
      <c r="K84" s="52">
        <v>13</v>
      </c>
      <c r="L84" s="6" t="s">
        <v>90</v>
      </c>
      <c r="M84" s="6" t="s">
        <v>91</v>
      </c>
      <c r="N84" s="6"/>
      <c r="Q84" s="54">
        <f t="shared" si="2"/>
        <v>9</v>
      </c>
      <c r="R84">
        <v>0</v>
      </c>
      <c r="S84">
        <v>1</v>
      </c>
    </row>
    <row r="85" spans="8:19" x14ac:dyDescent="0.2">
      <c r="H85" s="2"/>
      <c r="I85" s="2"/>
      <c r="J85" s="2" t="s">
        <v>32</v>
      </c>
      <c r="K85" s="52">
        <v>14</v>
      </c>
      <c r="L85" s="6" t="s">
        <v>90</v>
      </c>
      <c r="M85" s="6" t="s">
        <v>91</v>
      </c>
      <c r="N85" s="6"/>
      <c r="Q85" s="54">
        <f t="shared" si="2"/>
        <v>9</v>
      </c>
      <c r="R85">
        <v>0</v>
      </c>
      <c r="S85">
        <v>1</v>
      </c>
    </row>
    <row r="86" spans="8:19" x14ac:dyDescent="0.2">
      <c r="H86" s="2"/>
      <c r="I86" s="2"/>
      <c r="J86" s="2" t="s">
        <v>32</v>
      </c>
      <c r="K86" s="52">
        <v>15</v>
      </c>
      <c r="L86" s="6" t="s">
        <v>91</v>
      </c>
      <c r="M86" s="6" t="s">
        <v>90</v>
      </c>
      <c r="N86" s="6"/>
      <c r="Q86" s="54">
        <f t="shared" si="2"/>
        <v>9</v>
      </c>
      <c r="R86">
        <v>0</v>
      </c>
      <c r="S86">
        <v>1</v>
      </c>
    </row>
    <row r="87" spans="8:19" x14ac:dyDescent="0.2">
      <c r="H87" s="2"/>
      <c r="I87" s="2"/>
      <c r="J87" s="2" t="s">
        <v>32</v>
      </c>
      <c r="K87" s="52">
        <v>16</v>
      </c>
      <c r="L87" s="6" t="s">
        <v>91</v>
      </c>
      <c r="M87" s="6" t="s">
        <v>90</v>
      </c>
      <c r="N87" s="6"/>
      <c r="Q87" s="54">
        <f t="shared" si="2"/>
        <v>9</v>
      </c>
      <c r="R87">
        <v>0</v>
      </c>
      <c r="S87">
        <v>1</v>
      </c>
    </row>
    <row r="88" spans="8:19" x14ac:dyDescent="0.2">
      <c r="H88" s="2"/>
      <c r="I88" s="2"/>
      <c r="J88" s="2" t="s">
        <v>32</v>
      </c>
      <c r="K88" s="52">
        <v>17</v>
      </c>
      <c r="L88" s="6" t="s">
        <v>91</v>
      </c>
      <c r="M88" s="6" t="s">
        <v>90</v>
      </c>
      <c r="N88" s="6"/>
      <c r="Q88" s="54">
        <f t="shared" si="2"/>
        <v>9</v>
      </c>
      <c r="R88">
        <v>0</v>
      </c>
      <c r="S88">
        <v>1</v>
      </c>
    </row>
    <row r="89" spans="8:19" x14ac:dyDescent="0.2">
      <c r="H89" s="2"/>
      <c r="I89" s="2"/>
      <c r="J89" s="2" t="s">
        <v>32</v>
      </c>
      <c r="K89" s="52">
        <v>18</v>
      </c>
      <c r="L89" s="6" t="s">
        <v>91</v>
      </c>
      <c r="M89" s="6" t="s">
        <v>90</v>
      </c>
      <c r="N89" s="6"/>
      <c r="Q89" s="54">
        <f t="shared" si="2"/>
        <v>9</v>
      </c>
      <c r="R89">
        <v>0</v>
      </c>
      <c r="S89">
        <v>1</v>
      </c>
    </row>
    <row r="90" spans="8:19" x14ac:dyDescent="0.2">
      <c r="H90" s="2"/>
      <c r="I90" s="2"/>
      <c r="J90" s="2" t="s">
        <v>32</v>
      </c>
      <c r="K90" s="52">
        <v>19</v>
      </c>
      <c r="L90" s="6" t="s">
        <v>91</v>
      </c>
      <c r="M90" s="6" t="s">
        <v>90</v>
      </c>
      <c r="N90" s="6"/>
      <c r="Q90" s="54">
        <f t="shared" si="2"/>
        <v>9</v>
      </c>
      <c r="R90">
        <v>0</v>
      </c>
      <c r="S90">
        <v>1</v>
      </c>
    </row>
    <row r="91" spans="8:19" x14ac:dyDescent="0.2">
      <c r="H91" s="2"/>
      <c r="I91" s="2"/>
      <c r="J91" s="2" t="s">
        <v>32</v>
      </c>
      <c r="K91" s="52">
        <v>20</v>
      </c>
      <c r="L91" s="6" t="s">
        <v>91</v>
      </c>
      <c r="M91" s="6" t="s">
        <v>90</v>
      </c>
      <c r="N91" s="6"/>
      <c r="Q91" s="54">
        <f t="shared" si="2"/>
        <v>9</v>
      </c>
      <c r="R91">
        <v>0</v>
      </c>
      <c r="S91">
        <v>1</v>
      </c>
    </row>
    <row r="92" spans="8:19" x14ac:dyDescent="0.2">
      <c r="I92" s="2"/>
      <c r="J92" s="2" t="s">
        <v>32</v>
      </c>
      <c r="K92" s="52">
        <v>21</v>
      </c>
      <c r="L92" s="6" t="s">
        <v>91</v>
      </c>
      <c r="M92" s="6" t="s">
        <v>90</v>
      </c>
      <c r="N92" s="6"/>
      <c r="Q92" s="54">
        <f t="shared" si="2"/>
        <v>9</v>
      </c>
      <c r="R92">
        <v>0</v>
      </c>
      <c r="S92">
        <v>1</v>
      </c>
    </row>
    <row r="93" spans="8:19" x14ac:dyDescent="0.2">
      <c r="I93" s="2"/>
      <c r="J93" s="2" t="s">
        <v>32</v>
      </c>
      <c r="K93" s="52">
        <v>22</v>
      </c>
      <c r="L93" s="6" t="s">
        <v>91</v>
      </c>
      <c r="M93" s="6" t="s">
        <v>90</v>
      </c>
      <c r="N93" s="6"/>
      <c r="Q93" s="54">
        <f t="shared" si="2"/>
        <v>9</v>
      </c>
      <c r="R93">
        <v>0</v>
      </c>
      <c r="S93">
        <v>1</v>
      </c>
    </row>
    <row r="94" spans="8:19" x14ac:dyDescent="0.2">
      <c r="I94" s="2"/>
      <c r="J94" s="2" t="s">
        <v>32</v>
      </c>
      <c r="K94" s="52">
        <v>23</v>
      </c>
      <c r="L94" s="6" t="s">
        <v>91</v>
      </c>
      <c r="M94" s="6" t="s">
        <v>90</v>
      </c>
      <c r="N94" s="6"/>
      <c r="Q94" s="54">
        <f t="shared" si="2"/>
        <v>9</v>
      </c>
      <c r="R94">
        <v>0</v>
      </c>
      <c r="S94">
        <v>1</v>
      </c>
    </row>
    <row r="95" spans="8:19" x14ac:dyDescent="0.2">
      <c r="I95" s="2"/>
      <c r="J95" s="2" t="s">
        <v>32</v>
      </c>
      <c r="K95" s="52">
        <v>24</v>
      </c>
      <c r="L95" s="6" t="s">
        <v>91</v>
      </c>
      <c r="M95" s="6" t="s">
        <v>90</v>
      </c>
      <c r="N95" s="6"/>
      <c r="Q95" s="54">
        <f t="shared" si="2"/>
        <v>9</v>
      </c>
      <c r="R95">
        <v>0</v>
      </c>
      <c r="S95">
        <v>1</v>
      </c>
    </row>
    <row r="96" spans="8:19" x14ac:dyDescent="0.2">
      <c r="I96" s="2"/>
      <c r="J96" s="2" t="s">
        <v>32</v>
      </c>
      <c r="K96" s="52">
        <v>25</v>
      </c>
      <c r="L96" s="6" t="s">
        <v>91</v>
      </c>
      <c r="M96" s="6" t="s">
        <v>90</v>
      </c>
      <c r="N96" s="6"/>
      <c r="Q96" s="54">
        <f t="shared" si="2"/>
        <v>9</v>
      </c>
      <c r="R96">
        <v>0</v>
      </c>
      <c r="S96">
        <v>1</v>
      </c>
    </row>
    <row r="97" spans="10:19" x14ac:dyDescent="0.2">
      <c r="J97" s="2" t="s">
        <v>32</v>
      </c>
      <c r="K97" s="52">
        <v>26</v>
      </c>
      <c r="L97" s="6" t="s">
        <v>91</v>
      </c>
      <c r="M97" s="6" t="s">
        <v>90</v>
      </c>
      <c r="N97" s="6"/>
      <c r="Q97" s="54">
        <f t="shared" si="2"/>
        <v>9</v>
      </c>
      <c r="R97">
        <v>0</v>
      </c>
      <c r="S97">
        <v>1</v>
      </c>
    </row>
    <row r="98" spans="10:19" x14ac:dyDescent="0.2">
      <c r="J98" s="2" t="s">
        <v>32</v>
      </c>
      <c r="K98" s="52">
        <v>27</v>
      </c>
      <c r="L98" s="6" t="s">
        <v>91</v>
      </c>
      <c r="M98" s="6" t="s">
        <v>90</v>
      </c>
      <c r="N98" s="6"/>
      <c r="Q98" s="54">
        <f t="shared" si="2"/>
        <v>9</v>
      </c>
      <c r="R98">
        <v>0</v>
      </c>
      <c r="S98">
        <v>1</v>
      </c>
    </row>
    <row r="99" spans="10:19" x14ac:dyDescent="0.2">
      <c r="J99" s="2" t="s">
        <v>32</v>
      </c>
      <c r="K99" s="52">
        <v>28</v>
      </c>
      <c r="L99" s="6" t="s">
        <v>91</v>
      </c>
      <c r="M99" s="6" t="s">
        <v>90</v>
      </c>
      <c r="N99" s="6"/>
      <c r="Q99" s="54">
        <f t="shared" si="2"/>
        <v>9</v>
      </c>
      <c r="R99">
        <v>0</v>
      </c>
      <c r="S99">
        <v>1</v>
      </c>
    </row>
    <row r="100" spans="10:19" x14ac:dyDescent="0.2">
      <c r="J100" s="2" t="s">
        <v>14</v>
      </c>
      <c r="K100" s="52">
        <v>1</v>
      </c>
      <c r="L100" s="6" t="s">
        <v>90</v>
      </c>
      <c r="M100" s="6" t="s">
        <v>91</v>
      </c>
      <c r="N100" s="6"/>
      <c r="Q100" s="54">
        <f t="shared" si="2"/>
        <v>3.4167000000000001</v>
      </c>
      <c r="R100">
        <v>0</v>
      </c>
      <c r="S100">
        <v>1</v>
      </c>
    </row>
    <row r="101" spans="10:19" x14ac:dyDescent="0.2">
      <c r="J101" s="2" t="s">
        <v>14</v>
      </c>
      <c r="K101" s="52">
        <v>2</v>
      </c>
      <c r="L101" s="6" t="s">
        <v>90</v>
      </c>
      <c r="M101" s="6" t="s">
        <v>91</v>
      </c>
      <c r="N101" s="6"/>
      <c r="Q101" s="54">
        <f t="shared" si="2"/>
        <v>3.4167000000000001</v>
      </c>
      <c r="R101">
        <v>0</v>
      </c>
      <c r="S101">
        <v>1</v>
      </c>
    </row>
    <row r="102" spans="10:19" x14ac:dyDescent="0.2">
      <c r="J102" s="2" t="s">
        <v>14</v>
      </c>
      <c r="K102" s="52">
        <v>3</v>
      </c>
      <c r="L102" s="6" t="s">
        <v>90</v>
      </c>
      <c r="M102" s="6" t="s">
        <v>91</v>
      </c>
      <c r="N102" s="6"/>
      <c r="Q102" s="54">
        <f t="shared" si="2"/>
        <v>3.4167000000000001</v>
      </c>
      <c r="R102">
        <v>0</v>
      </c>
      <c r="S102">
        <v>1</v>
      </c>
    </row>
    <row r="103" spans="10:19" x14ac:dyDescent="0.2">
      <c r="J103" s="2" t="s">
        <v>14</v>
      </c>
      <c r="K103" s="52">
        <v>4</v>
      </c>
      <c r="L103" s="6" t="s">
        <v>90</v>
      </c>
      <c r="M103" s="6" t="s">
        <v>91</v>
      </c>
      <c r="N103" s="6"/>
      <c r="Q103" s="54">
        <f t="shared" si="2"/>
        <v>3.4167000000000001</v>
      </c>
      <c r="R103">
        <v>0</v>
      </c>
      <c r="S103">
        <v>1</v>
      </c>
    </row>
    <row r="104" spans="10:19" x14ac:dyDescent="0.2">
      <c r="J104" s="2" t="s">
        <v>14</v>
      </c>
      <c r="K104" s="52">
        <v>5</v>
      </c>
      <c r="L104" s="6" t="s">
        <v>90</v>
      </c>
      <c r="M104" s="6" t="s">
        <v>91</v>
      </c>
      <c r="N104" s="6"/>
      <c r="Q104" s="54">
        <f t="shared" si="2"/>
        <v>3.4167000000000001</v>
      </c>
      <c r="R104">
        <v>0</v>
      </c>
      <c r="S104">
        <v>1</v>
      </c>
    </row>
    <row r="105" spans="10:19" x14ac:dyDescent="0.2">
      <c r="J105" s="2" t="s">
        <v>14</v>
      </c>
      <c r="K105" s="52">
        <v>6</v>
      </c>
      <c r="L105" s="6" t="s">
        <v>91</v>
      </c>
      <c r="M105" s="6" t="s">
        <v>90</v>
      </c>
      <c r="N105" s="6"/>
      <c r="Q105" s="54">
        <f t="shared" si="2"/>
        <v>3.4167000000000001</v>
      </c>
      <c r="R105">
        <v>0</v>
      </c>
      <c r="S105">
        <v>1</v>
      </c>
    </row>
    <row r="106" spans="10:19" x14ac:dyDescent="0.2">
      <c r="J106" s="2" t="s">
        <v>14</v>
      </c>
      <c r="K106" s="52">
        <v>7</v>
      </c>
      <c r="L106" s="6" t="s">
        <v>91</v>
      </c>
      <c r="M106" s="6" t="s">
        <v>90</v>
      </c>
      <c r="N106" s="6"/>
      <c r="Q106" s="54">
        <f t="shared" si="2"/>
        <v>3.4167000000000001</v>
      </c>
      <c r="R106">
        <v>0</v>
      </c>
      <c r="S106">
        <v>1</v>
      </c>
    </row>
    <row r="107" spans="10:19" x14ac:dyDescent="0.2">
      <c r="J107" s="2" t="s">
        <v>14</v>
      </c>
      <c r="K107" s="52">
        <v>8</v>
      </c>
      <c r="L107" s="6" t="s">
        <v>91</v>
      </c>
      <c r="M107" s="6" t="s">
        <v>90</v>
      </c>
      <c r="N107" s="6"/>
      <c r="Q107" s="54">
        <f t="shared" si="2"/>
        <v>3.4167000000000001</v>
      </c>
      <c r="R107">
        <v>0</v>
      </c>
      <c r="S107">
        <v>1</v>
      </c>
    </row>
    <row r="108" spans="10:19" x14ac:dyDescent="0.2">
      <c r="J108" s="2" t="s">
        <v>14</v>
      </c>
      <c r="K108" s="52">
        <v>9</v>
      </c>
      <c r="L108" s="6" t="s">
        <v>91</v>
      </c>
      <c r="M108" s="6" t="s">
        <v>90</v>
      </c>
      <c r="N108" s="6"/>
      <c r="Q108" s="54">
        <f t="shared" si="2"/>
        <v>3.4167000000000001</v>
      </c>
      <c r="R108">
        <v>0</v>
      </c>
      <c r="S108">
        <v>1</v>
      </c>
    </row>
    <row r="109" spans="10:19" x14ac:dyDescent="0.2">
      <c r="J109" s="2" t="s">
        <v>14</v>
      </c>
      <c r="K109" s="52">
        <v>10</v>
      </c>
      <c r="L109" s="6" t="s">
        <v>91</v>
      </c>
      <c r="M109" s="6" t="s">
        <v>90</v>
      </c>
      <c r="N109" s="6"/>
      <c r="Q109" s="54">
        <f t="shared" si="2"/>
        <v>3.4167000000000001</v>
      </c>
      <c r="R109">
        <v>0</v>
      </c>
      <c r="S109">
        <v>1</v>
      </c>
    </row>
    <row r="110" spans="10:19" x14ac:dyDescent="0.2">
      <c r="J110" s="2" t="s">
        <v>1</v>
      </c>
      <c r="K110" s="52">
        <v>1</v>
      </c>
      <c r="L110" s="6" t="s">
        <v>90</v>
      </c>
      <c r="M110" s="6" t="s">
        <v>91</v>
      </c>
      <c r="N110" s="6"/>
      <c r="Q110" s="54">
        <f>_xlfn.XLOOKUP(J110, A:A, C:C)</f>
        <v>7</v>
      </c>
      <c r="R110">
        <v>0</v>
      </c>
      <c r="S110">
        <v>1</v>
      </c>
    </row>
    <row r="111" spans="10:19" x14ac:dyDescent="0.2">
      <c r="J111" s="2" t="s">
        <v>1</v>
      </c>
      <c r="K111" s="52">
        <v>2</v>
      </c>
      <c r="L111" s="6" t="s">
        <v>90</v>
      </c>
      <c r="M111" s="6" t="s">
        <v>91</v>
      </c>
      <c r="N111" s="6"/>
      <c r="Q111" s="54">
        <f>_xlfn.XLOOKUP(J111, A:A, C:C)</f>
        <v>7</v>
      </c>
      <c r="R111">
        <v>0</v>
      </c>
      <c r="S111">
        <v>1</v>
      </c>
    </row>
    <row r="112" spans="10:19" x14ac:dyDescent="0.2">
      <c r="J112" s="2" t="s">
        <v>1</v>
      </c>
      <c r="K112" s="52">
        <v>3</v>
      </c>
      <c r="L112" s="6" t="s">
        <v>90</v>
      </c>
      <c r="M112" s="6" t="s">
        <v>91</v>
      </c>
      <c r="N112" s="6"/>
      <c r="Q112" s="54">
        <f>_xlfn.XLOOKUP(J112, A:A, C:C)</f>
        <v>7</v>
      </c>
      <c r="R112">
        <v>0</v>
      </c>
      <c r="S112">
        <v>1</v>
      </c>
    </row>
    <row r="113" spans="10:19" x14ac:dyDescent="0.2">
      <c r="J113" s="2" t="s">
        <v>1</v>
      </c>
      <c r="K113" s="52">
        <v>4</v>
      </c>
      <c r="L113" s="6" t="s">
        <v>90</v>
      </c>
      <c r="M113" s="6" t="s">
        <v>91</v>
      </c>
      <c r="N113" s="6"/>
      <c r="Q113" s="54">
        <f>_xlfn.XLOOKUP(J113, A:A, C:C)</f>
        <v>7</v>
      </c>
      <c r="R113">
        <v>0</v>
      </c>
      <c r="S113">
        <v>1</v>
      </c>
    </row>
    <row r="114" spans="10:19" x14ac:dyDescent="0.2">
      <c r="J114" s="2" t="s">
        <v>1</v>
      </c>
      <c r="K114" s="52">
        <v>5</v>
      </c>
      <c r="L114" s="6" t="s">
        <v>90</v>
      </c>
      <c r="M114" s="6" t="s">
        <v>91</v>
      </c>
      <c r="N114" s="6"/>
      <c r="Q114" s="54">
        <f>_xlfn.XLOOKUP(J114, A:A, C:C)</f>
        <v>7</v>
      </c>
      <c r="R114">
        <v>0</v>
      </c>
      <c r="S114">
        <v>1</v>
      </c>
    </row>
    <row r="115" spans="10:19" x14ac:dyDescent="0.2">
      <c r="J115" s="2" t="s">
        <v>1</v>
      </c>
      <c r="K115" s="52">
        <v>6</v>
      </c>
      <c r="L115" s="6" t="s">
        <v>90</v>
      </c>
      <c r="M115" s="6" t="s">
        <v>91</v>
      </c>
      <c r="N115" s="6"/>
      <c r="Q115" s="54">
        <f>_xlfn.XLOOKUP(J115, A:A, C:C)</f>
        <v>7</v>
      </c>
      <c r="R115">
        <v>0</v>
      </c>
      <c r="S115">
        <v>1</v>
      </c>
    </row>
    <row r="116" spans="10:19" x14ac:dyDescent="0.2">
      <c r="J116" s="2" t="s">
        <v>1</v>
      </c>
      <c r="K116" s="52">
        <v>7</v>
      </c>
      <c r="L116" s="6" t="s">
        <v>90</v>
      </c>
      <c r="M116" s="6" t="s">
        <v>91</v>
      </c>
      <c r="N116" s="6"/>
      <c r="Q116" s="54">
        <f>_xlfn.XLOOKUP(J116, A:A, C:C)</f>
        <v>7</v>
      </c>
      <c r="R116">
        <v>0</v>
      </c>
      <c r="S116">
        <v>1</v>
      </c>
    </row>
    <row r="117" spans="10:19" x14ac:dyDescent="0.2">
      <c r="J117" s="2" t="s">
        <v>1</v>
      </c>
      <c r="K117" s="52">
        <v>8</v>
      </c>
      <c r="L117" s="6" t="s">
        <v>90</v>
      </c>
      <c r="M117" s="6" t="s">
        <v>91</v>
      </c>
      <c r="N117" s="6"/>
      <c r="Q117" s="54">
        <f>_xlfn.XLOOKUP(J117, A:A, C:C)</f>
        <v>7</v>
      </c>
      <c r="R117">
        <v>0</v>
      </c>
      <c r="S117">
        <v>1</v>
      </c>
    </row>
    <row r="118" spans="10:19" x14ac:dyDescent="0.2">
      <c r="J118" s="2" t="s">
        <v>1</v>
      </c>
      <c r="K118" s="52">
        <v>9</v>
      </c>
      <c r="L118" s="6" t="s">
        <v>90</v>
      </c>
      <c r="M118" s="6" t="s">
        <v>91</v>
      </c>
      <c r="N118" s="6"/>
      <c r="Q118" s="54">
        <f>_xlfn.XLOOKUP(J118, A:A, C:C)</f>
        <v>7</v>
      </c>
      <c r="R118">
        <v>0</v>
      </c>
      <c r="S118">
        <v>1</v>
      </c>
    </row>
    <row r="119" spans="10:19" x14ac:dyDescent="0.2">
      <c r="J119" s="2" t="s">
        <v>1</v>
      </c>
      <c r="K119" s="52">
        <v>10</v>
      </c>
      <c r="L119" s="6" t="s">
        <v>90</v>
      </c>
      <c r="M119" s="6" t="s">
        <v>91</v>
      </c>
      <c r="N119" s="6"/>
      <c r="Q119" s="54">
        <f>_xlfn.XLOOKUP(J119, A:A, C:C)</f>
        <v>7</v>
      </c>
      <c r="R119">
        <v>0</v>
      </c>
      <c r="S119">
        <v>1</v>
      </c>
    </row>
    <row r="120" spans="10:19" x14ac:dyDescent="0.2">
      <c r="J120" s="2" t="s">
        <v>1</v>
      </c>
      <c r="K120" s="52">
        <v>11</v>
      </c>
      <c r="L120" s="6" t="s">
        <v>90</v>
      </c>
      <c r="M120" s="6" t="s">
        <v>91</v>
      </c>
      <c r="N120" s="6"/>
      <c r="Q120" s="54">
        <f>_xlfn.XLOOKUP(J120, A:A, C:C)</f>
        <v>7</v>
      </c>
      <c r="R120">
        <v>0</v>
      </c>
      <c r="S120">
        <v>1</v>
      </c>
    </row>
    <row r="121" spans="10:19" x14ac:dyDescent="0.2">
      <c r="J121" s="2" t="s">
        <v>1</v>
      </c>
      <c r="K121" s="52">
        <v>12</v>
      </c>
      <c r="L121" s="6" t="s">
        <v>90</v>
      </c>
      <c r="M121" s="6" t="s">
        <v>91</v>
      </c>
      <c r="N121" s="6"/>
      <c r="Q121" s="54">
        <f>_xlfn.XLOOKUP(J121, A:A, C:C)</f>
        <v>7</v>
      </c>
      <c r="R121">
        <v>0</v>
      </c>
      <c r="S121">
        <v>1</v>
      </c>
    </row>
    <row r="122" spans="10:19" x14ac:dyDescent="0.2">
      <c r="J122" s="2" t="s">
        <v>1</v>
      </c>
      <c r="K122" s="52">
        <v>13</v>
      </c>
      <c r="L122" s="6" t="s">
        <v>90</v>
      </c>
      <c r="M122" s="6" t="s">
        <v>91</v>
      </c>
      <c r="N122" s="6"/>
      <c r="Q122" s="54">
        <f>_xlfn.XLOOKUP(J122, A:A, C:C)</f>
        <v>7</v>
      </c>
      <c r="R122">
        <v>0</v>
      </c>
      <c r="S122">
        <v>1</v>
      </c>
    </row>
    <row r="123" spans="10:19" x14ac:dyDescent="0.2">
      <c r="J123" s="2" t="s">
        <v>1</v>
      </c>
      <c r="K123" s="52">
        <v>14</v>
      </c>
      <c r="L123" s="6" t="s">
        <v>90</v>
      </c>
      <c r="M123" s="6" t="s">
        <v>91</v>
      </c>
      <c r="N123" s="6"/>
      <c r="Q123" s="54">
        <f>_xlfn.XLOOKUP(J123, A:A, C:C)</f>
        <v>7</v>
      </c>
      <c r="R123">
        <v>0</v>
      </c>
      <c r="S123">
        <v>1</v>
      </c>
    </row>
    <row r="124" spans="10:19" x14ac:dyDescent="0.2">
      <c r="J124" s="2" t="s">
        <v>1</v>
      </c>
      <c r="K124" s="52">
        <v>15</v>
      </c>
      <c r="L124" s="6" t="s">
        <v>90</v>
      </c>
      <c r="M124" s="6" t="s">
        <v>91</v>
      </c>
      <c r="N124" s="6"/>
      <c r="Q124" s="54">
        <f>_xlfn.XLOOKUP(J124, A:A, C:C)</f>
        <v>7</v>
      </c>
      <c r="R124">
        <v>0</v>
      </c>
      <c r="S124">
        <v>1</v>
      </c>
    </row>
    <row r="125" spans="10:19" x14ac:dyDescent="0.2">
      <c r="J125" s="2" t="s">
        <v>1</v>
      </c>
      <c r="K125" s="52">
        <v>16</v>
      </c>
      <c r="L125" s="6" t="s">
        <v>91</v>
      </c>
      <c r="M125" s="6" t="s">
        <v>90</v>
      </c>
      <c r="N125" s="6"/>
      <c r="Q125" s="54">
        <f>_xlfn.XLOOKUP(J125, A:A, C:C)</f>
        <v>7</v>
      </c>
      <c r="R125">
        <v>0</v>
      </c>
      <c r="S125">
        <v>1</v>
      </c>
    </row>
    <row r="126" spans="10:19" x14ac:dyDescent="0.2">
      <c r="J126" s="2" t="s">
        <v>1</v>
      </c>
      <c r="K126" s="52">
        <v>17</v>
      </c>
      <c r="L126" s="6" t="s">
        <v>91</v>
      </c>
      <c r="M126" s="6" t="s">
        <v>90</v>
      </c>
      <c r="N126" s="6"/>
      <c r="Q126" s="54">
        <f>_xlfn.XLOOKUP(J126, A:A, C:C)</f>
        <v>7</v>
      </c>
      <c r="R126">
        <v>0</v>
      </c>
      <c r="S126">
        <v>1</v>
      </c>
    </row>
    <row r="127" spans="10:19" x14ac:dyDescent="0.2">
      <c r="J127" s="2" t="s">
        <v>1</v>
      </c>
      <c r="K127" s="52">
        <v>18</v>
      </c>
      <c r="L127" s="6" t="s">
        <v>91</v>
      </c>
      <c r="M127" s="6" t="s">
        <v>90</v>
      </c>
      <c r="N127" s="6"/>
      <c r="Q127" s="54">
        <f>_xlfn.XLOOKUP(J127, A:A, C:C)</f>
        <v>7</v>
      </c>
      <c r="R127">
        <v>0</v>
      </c>
      <c r="S127">
        <v>1</v>
      </c>
    </row>
    <row r="128" spans="10:19" x14ac:dyDescent="0.2">
      <c r="J128" s="2" t="s">
        <v>1</v>
      </c>
      <c r="K128" s="52">
        <v>19</v>
      </c>
      <c r="L128" s="6" t="s">
        <v>91</v>
      </c>
      <c r="M128" s="6" t="s">
        <v>90</v>
      </c>
      <c r="N128" s="6"/>
      <c r="Q128" s="54">
        <f>_xlfn.XLOOKUP(J128, A:A, C:C)</f>
        <v>7</v>
      </c>
      <c r="R128">
        <v>0</v>
      </c>
      <c r="S128">
        <v>1</v>
      </c>
    </row>
    <row r="129" spans="10:19" x14ac:dyDescent="0.2">
      <c r="J129" s="2" t="s">
        <v>1</v>
      </c>
      <c r="K129" s="52">
        <v>20</v>
      </c>
      <c r="L129" s="6" t="s">
        <v>91</v>
      </c>
      <c r="M129" s="6" t="s">
        <v>90</v>
      </c>
      <c r="N129" s="6"/>
      <c r="Q129" s="54">
        <f>_xlfn.XLOOKUP(J129, A:A, C:C)</f>
        <v>7</v>
      </c>
      <c r="R129">
        <v>0</v>
      </c>
      <c r="S129">
        <v>1</v>
      </c>
    </row>
    <row r="130" spans="10:19" x14ac:dyDescent="0.2">
      <c r="J130" s="2" t="s">
        <v>1</v>
      </c>
      <c r="K130" s="52">
        <v>21</v>
      </c>
      <c r="L130" s="6" t="s">
        <v>91</v>
      </c>
      <c r="M130" s="6" t="s">
        <v>90</v>
      </c>
      <c r="N130" s="6"/>
      <c r="Q130" s="54">
        <f>_xlfn.XLOOKUP(J130, A:A, C:C)</f>
        <v>7</v>
      </c>
      <c r="R130">
        <v>0</v>
      </c>
      <c r="S130">
        <v>1</v>
      </c>
    </row>
    <row r="131" spans="10:19" x14ac:dyDescent="0.2">
      <c r="J131" s="2" t="s">
        <v>1</v>
      </c>
      <c r="K131" s="52">
        <v>22</v>
      </c>
      <c r="L131" s="6" t="s">
        <v>91</v>
      </c>
      <c r="M131" s="6" t="s">
        <v>90</v>
      </c>
      <c r="N131" s="6"/>
      <c r="Q131" s="54">
        <f>_xlfn.XLOOKUP(J131, A:A, C:C)</f>
        <v>7</v>
      </c>
      <c r="R131">
        <v>0</v>
      </c>
      <c r="S131">
        <v>1</v>
      </c>
    </row>
    <row r="132" spans="10:19" x14ac:dyDescent="0.2">
      <c r="J132" s="2" t="s">
        <v>1</v>
      </c>
      <c r="K132" s="52">
        <v>23</v>
      </c>
      <c r="L132" s="6" t="s">
        <v>91</v>
      </c>
      <c r="M132" s="6" t="s">
        <v>90</v>
      </c>
      <c r="N132" s="6"/>
      <c r="Q132" s="54">
        <f>_xlfn.XLOOKUP(J132, A:A, C:C)</f>
        <v>7</v>
      </c>
      <c r="R132">
        <v>0</v>
      </c>
      <c r="S132">
        <v>1</v>
      </c>
    </row>
    <row r="133" spans="10:19" x14ac:dyDescent="0.2">
      <c r="J133" s="2" t="s">
        <v>1</v>
      </c>
      <c r="K133" s="52">
        <v>24</v>
      </c>
      <c r="L133" s="6" t="s">
        <v>91</v>
      </c>
      <c r="M133" s="6" t="s">
        <v>90</v>
      </c>
      <c r="N133" s="6"/>
      <c r="Q133" s="54">
        <f>_xlfn.XLOOKUP(J133, A:A, C:C)</f>
        <v>7</v>
      </c>
      <c r="R133">
        <v>0</v>
      </c>
      <c r="S133">
        <v>1</v>
      </c>
    </row>
    <row r="134" spans="10:19" x14ac:dyDescent="0.2">
      <c r="J134" s="2" t="s">
        <v>1</v>
      </c>
      <c r="K134" s="52">
        <v>25</v>
      </c>
      <c r="L134" s="6" t="s">
        <v>91</v>
      </c>
      <c r="M134" s="6" t="s">
        <v>90</v>
      </c>
      <c r="N134" s="6"/>
      <c r="Q134" s="54">
        <f>_xlfn.XLOOKUP(J134, A:A, C:C)</f>
        <v>7</v>
      </c>
      <c r="R134">
        <v>0</v>
      </c>
      <c r="S134">
        <v>1</v>
      </c>
    </row>
    <row r="135" spans="10:19" x14ac:dyDescent="0.2">
      <c r="J135" s="2" t="s">
        <v>1</v>
      </c>
      <c r="K135" s="52">
        <v>26</v>
      </c>
      <c r="L135" s="6" t="s">
        <v>91</v>
      </c>
      <c r="M135" s="6" t="s">
        <v>90</v>
      </c>
      <c r="N135" s="6"/>
      <c r="Q135" s="54">
        <f>_xlfn.XLOOKUP(J135, A:A, C:C)</f>
        <v>7</v>
      </c>
      <c r="R135">
        <v>0</v>
      </c>
      <c r="S135">
        <v>1</v>
      </c>
    </row>
    <row r="136" spans="10:19" x14ac:dyDescent="0.2">
      <c r="J136" s="2" t="s">
        <v>1</v>
      </c>
      <c r="K136" s="52">
        <v>27</v>
      </c>
      <c r="L136" s="6" t="s">
        <v>91</v>
      </c>
      <c r="M136" s="6" t="s">
        <v>90</v>
      </c>
      <c r="N136" s="6"/>
      <c r="Q136" s="54">
        <f>_xlfn.XLOOKUP(J136, A:A, C:C)</f>
        <v>7</v>
      </c>
      <c r="R136">
        <v>0</v>
      </c>
      <c r="S136">
        <v>1</v>
      </c>
    </row>
    <row r="137" spans="10:19" x14ac:dyDescent="0.2">
      <c r="J137" s="2" t="s">
        <v>1</v>
      </c>
      <c r="K137" s="52">
        <v>28</v>
      </c>
      <c r="L137" s="6" t="s">
        <v>91</v>
      </c>
      <c r="M137" s="6" t="s">
        <v>90</v>
      </c>
      <c r="N137" s="6"/>
      <c r="Q137" s="54">
        <f>_xlfn.XLOOKUP(J137, A:A, C:C)</f>
        <v>7</v>
      </c>
      <c r="R137">
        <v>0</v>
      </c>
      <c r="S137">
        <v>1</v>
      </c>
    </row>
    <row r="138" spans="10:19" x14ac:dyDescent="0.2">
      <c r="J138" s="2" t="s">
        <v>1</v>
      </c>
      <c r="K138" s="52">
        <v>29</v>
      </c>
      <c r="L138" s="6" t="s">
        <v>91</v>
      </c>
      <c r="M138" s="6" t="s">
        <v>90</v>
      </c>
      <c r="N138" s="6"/>
      <c r="Q138" s="54">
        <f>_xlfn.XLOOKUP(J138, A:A, C:C)</f>
        <v>7</v>
      </c>
      <c r="R138">
        <v>0</v>
      </c>
      <c r="S138">
        <v>1</v>
      </c>
    </row>
    <row r="139" spans="10:19" x14ac:dyDescent="0.2">
      <c r="J139" s="2" t="s">
        <v>1</v>
      </c>
      <c r="K139" s="52">
        <v>30</v>
      </c>
      <c r="L139" s="6" t="s">
        <v>91</v>
      </c>
      <c r="M139" s="6" t="s">
        <v>90</v>
      </c>
      <c r="N139" s="6"/>
      <c r="Q139" s="54">
        <f>_xlfn.XLOOKUP(J139, A:A, C:C)</f>
        <v>7</v>
      </c>
      <c r="R139">
        <v>0</v>
      </c>
      <c r="S139">
        <v>1</v>
      </c>
    </row>
    <row r="140" spans="10:19" x14ac:dyDescent="0.2">
      <c r="J140" s="43" t="s">
        <v>7</v>
      </c>
      <c r="K140" s="52">
        <v>1</v>
      </c>
      <c r="L140" s="6" t="s">
        <v>90</v>
      </c>
      <c r="M140" s="6" t="s">
        <v>91</v>
      </c>
      <c r="N140" s="6"/>
      <c r="Q140" s="54">
        <f>_xlfn.XLOOKUP(J140, A:A, C:C)</f>
        <v>3.25</v>
      </c>
      <c r="R140">
        <v>0</v>
      </c>
      <c r="S140">
        <v>1</v>
      </c>
    </row>
    <row r="141" spans="10:19" x14ac:dyDescent="0.2">
      <c r="J141" s="43" t="s">
        <v>7</v>
      </c>
      <c r="K141" s="52">
        <v>2</v>
      </c>
      <c r="L141" s="6" t="s">
        <v>90</v>
      </c>
      <c r="M141" s="6" t="s">
        <v>91</v>
      </c>
      <c r="N141" s="6"/>
      <c r="Q141" s="54">
        <f t="shared" ref="Q141:Q204" si="3">_xlfn.XLOOKUP(J141, A:A, C:C)</f>
        <v>3.25</v>
      </c>
      <c r="R141">
        <v>0</v>
      </c>
      <c r="S141">
        <v>1</v>
      </c>
    </row>
    <row r="142" spans="10:19" x14ac:dyDescent="0.2">
      <c r="J142" s="43" t="s">
        <v>7</v>
      </c>
      <c r="K142" s="52">
        <v>3</v>
      </c>
      <c r="L142" s="6" t="s">
        <v>90</v>
      </c>
      <c r="M142" s="6" t="s">
        <v>91</v>
      </c>
      <c r="N142" s="6"/>
      <c r="Q142" s="54">
        <f t="shared" si="3"/>
        <v>3.25</v>
      </c>
      <c r="R142">
        <v>0</v>
      </c>
      <c r="S142">
        <v>1</v>
      </c>
    </row>
    <row r="143" spans="10:19" x14ac:dyDescent="0.2">
      <c r="J143" s="43" t="s">
        <v>7</v>
      </c>
      <c r="K143" s="52">
        <v>4</v>
      </c>
      <c r="L143" s="6" t="s">
        <v>90</v>
      </c>
      <c r="M143" s="6" t="s">
        <v>91</v>
      </c>
      <c r="N143" s="6"/>
      <c r="Q143" s="54">
        <f t="shared" si="3"/>
        <v>3.25</v>
      </c>
      <c r="R143">
        <v>0</v>
      </c>
      <c r="S143">
        <v>1</v>
      </c>
    </row>
    <row r="144" spans="10:19" x14ac:dyDescent="0.2">
      <c r="J144" s="43" t="s">
        <v>7</v>
      </c>
      <c r="K144" s="52">
        <v>5</v>
      </c>
      <c r="L144" s="6" t="s">
        <v>90</v>
      </c>
      <c r="M144" s="6" t="s">
        <v>91</v>
      </c>
      <c r="N144" s="6"/>
      <c r="Q144" s="54">
        <f t="shared" si="3"/>
        <v>3.25</v>
      </c>
      <c r="R144">
        <v>0</v>
      </c>
      <c r="S144">
        <v>1</v>
      </c>
    </row>
    <row r="145" spans="10:19" x14ac:dyDescent="0.2">
      <c r="J145" s="43" t="s">
        <v>7</v>
      </c>
      <c r="K145" s="52">
        <v>6</v>
      </c>
      <c r="L145" s="6" t="s">
        <v>90</v>
      </c>
      <c r="M145" s="6" t="s">
        <v>91</v>
      </c>
      <c r="N145" s="6"/>
      <c r="Q145" s="54">
        <f t="shared" si="3"/>
        <v>3.25</v>
      </c>
      <c r="R145">
        <v>0</v>
      </c>
      <c r="S145">
        <v>1</v>
      </c>
    </row>
    <row r="146" spans="10:19" x14ac:dyDescent="0.2">
      <c r="J146" s="43" t="s">
        <v>7</v>
      </c>
      <c r="K146" s="52">
        <v>7</v>
      </c>
      <c r="L146" s="6" t="s">
        <v>90</v>
      </c>
      <c r="M146" s="6" t="s">
        <v>91</v>
      </c>
      <c r="N146" s="6"/>
      <c r="Q146" s="54">
        <f t="shared" si="3"/>
        <v>3.25</v>
      </c>
      <c r="R146">
        <v>0</v>
      </c>
      <c r="S146">
        <v>1</v>
      </c>
    </row>
    <row r="147" spans="10:19" x14ac:dyDescent="0.2">
      <c r="J147" s="43" t="s">
        <v>7</v>
      </c>
      <c r="K147" s="52">
        <v>8</v>
      </c>
      <c r="L147" s="6" t="s">
        <v>90</v>
      </c>
      <c r="M147" s="6" t="s">
        <v>91</v>
      </c>
      <c r="N147" s="6"/>
      <c r="Q147" s="54">
        <f t="shared" si="3"/>
        <v>3.25</v>
      </c>
      <c r="R147">
        <v>0</v>
      </c>
      <c r="S147">
        <v>1</v>
      </c>
    </row>
    <row r="148" spans="10:19" x14ac:dyDescent="0.2">
      <c r="J148" s="43" t="s">
        <v>7</v>
      </c>
      <c r="K148" s="52">
        <v>9</v>
      </c>
      <c r="L148" s="6" t="s">
        <v>90</v>
      </c>
      <c r="M148" s="6" t="s">
        <v>91</v>
      </c>
      <c r="N148" s="6"/>
      <c r="Q148" s="54">
        <f t="shared" si="3"/>
        <v>3.25</v>
      </c>
      <c r="R148">
        <v>0</v>
      </c>
      <c r="S148">
        <v>1</v>
      </c>
    </row>
    <row r="149" spans="10:19" x14ac:dyDescent="0.2">
      <c r="J149" s="43" t="s">
        <v>7</v>
      </c>
      <c r="K149" s="52">
        <v>10</v>
      </c>
      <c r="L149" s="6" t="s">
        <v>90</v>
      </c>
      <c r="M149" s="6" t="s">
        <v>91</v>
      </c>
      <c r="N149" s="6"/>
      <c r="Q149" s="54">
        <f t="shared" si="3"/>
        <v>3.25</v>
      </c>
      <c r="R149">
        <v>0</v>
      </c>
      <c r="S149">
        <v>1</v>
      </c>
    </row>
    <row r="150" spans="10:19" x14ac:dyDescent="0.2">
      <c r="J150" s="43" t="s">
        <v>7</v>
      </c>
      <c r="K150" s="52">
        <v>11</v>
      </c>
      <c r="L150" s="6" t="s">
        <v>90</v>
      </c>
      <c r="M150" s="6" t="s">
        <v>91</v>
      </c>
      <c r="N150" s="6"/>
      <c r="Q150" s="54">
        <f t="shared" si="3"/>
        <v>3.25</v>
      </c>
      <c r="R150">
        <v>0</v>
      </c>
      <c r="S150">
        <v>1</v>
      </c>
    </row>
    <row r="151" spans="10:19" x14ac:dyDescent="0.2">
      <c r="J151" s="43" t="s">
        <v>7</v>
      </c>
      <c r="K151" s="52">
        <v>12</v>
      </c>
      <c r="L151" s="6" t="s">
        <v>90</v>
      </c>
      <c r="M151" s="6" t="s">
        <v>91</v>
      </c>
      <c r="N151" s="6"/>
      <c r="Q151" s="54">
        <f t="shared" si="3"/>
        <v>3.25</v>
      </c>
      <c r="R151">
        <v>0</v>
      </c>
      <c r="S151">
        <v>1</v>
      </c>
    </row>
    <row r="152" spans="10:19" x14ac:dyDescent="0.2">
      <c r="J152" s="43" t="s">
        <v>7</v>
      </c>
      <c r="K152" s="52">
        <v>13</v>
      </c>
      <c r="L152" s="6" t="s">
        <v>90</v>
      </c>
      <c r="M152" s="6" t="s">
        <v>91</v>
      </c>
      <c r="N152" s="6"/>
      <c r="Q152" s="54">
        <f t="shared" si="3"/>
        <v>3.25</v>
      </c>
      <c r="R152">
        <v>0</v>
      </c>
      <c r="S152">
        <v>1</v>
      </c>
    </row>
    <row r="153" spans="10:19" x14ac:dyDescent="0.2">
      <c r="J153" s="43" t="s">
        <v>7</v>
      </c>
      <c r="K153" s="52">
        <v>14</v>
      </c>
      <c r="L153" s="6" t="s">
        <v>90</v>
      </c>
      <c r="M153" s="6" t="s">
        <v>91</v>
      </c>
      <c r="N153" s="6"/>
      <c r="Q153" s="54">
        <f t="shared" si="3"/>
        <v>3.25</v>
      </c>
      <c r="R153">
        <v>0</v>
      </c>
      <c r="S153">
        <v>1</v>
      </c>
    </row>
    <row r="154" spans="10:19" x14ac:dyDescent="0.2">
      <c r="J154" s="43" t="s">
        <v>7</v>
      </c>
      <c r="K154" s="52">
        <v>15</v>
      </c>
      <c r="L154" s="6" t="s">
        <v>90</v>
      </c>
      <c r="M154" s="6" t="s">
        <v>91</v>
      </c>
      <c r="N154" s="6"/>
      <c r="Q154" s="54">
        <f t="shared" si="3"/>
        <v>3.25</v>
      </c>
      <c r="R154">
        <v>0</v>
      </c>
      <c r="S154">
        <v>1</v>
      </c>
    </row>
    <row r="155" spans="10:19" x14ac:dyDescent="0.2">
      <c r="J155" s="43" t="s">
        <v>7</v>
      </c>
      <c r="K155" s="52">
        <v>16</v>
      </c>
      <c r="L155" s="6" t="s">
        <v>91</v>
      </c>
      <c r="M155" s="6" t="s">
        <v>90</v>
      </c>
      <c r="N155" s="6"/>
      <c r="Q155" s="54">
        <f t="shared" si="3"/>
        <v>3.25</v>
      </c>
      <c r="R155">
        <v>0</v>
      </c>
      <c r="S155">
        <v>1</v>
      </c>
    </row>
    <row r="156" spans="10:19" x14ac:dyDescent="0.2">
      <c r="J156" s="43" t="s">
        <v>7</v>
      </c>
      <c r="K156" s="52">
        <v>17</v>
      </c>
      <c r="L156" s="6" t="s">
        <v>91</v>
      </c>
      <c r="M156" s="6" t="s">
        <v>90</v>
      </c>
      <c r="N156" s="6"/>
      <c r="Q156" s="54">
        <f t="shared" si="3"/>
        <v>3.25</v>
      </c>
      <c r="R156">
        <v>0</v>
      </c>
      <c r="S156">
        <v>1</v>
      </c>
    </row>
    <row r="157" spans="10:19" x14ac:dyDescent="0.2">
      <c r="J157" s="43" t="s">
        <v>7</v>
      </c>
      <c r="K157" s="52">
        <v>18</v>
      </c>
      <c r="L157" s="6" t="s">
        <v>91</v>
      </c>
      <c r="M157" s="6" t="s">
        <v>90</v>
      </c>
      <c r="N157" s="6"/>
      <c r="Q157" s="54">
        <f t="shared" si="3"/>
        <v>3.25</v>
      </c>
      <c r="R157">
        <v>0</v>
      </c>
      <c r="S157">
        <v>1</v>
      </c>
    </row>
    <row r="158" spans="10:19" x14ac:dyDescent="0.2">
      <c r="J158" s="43" t="s">
        <v>7</v>
      </c>
      <c r="K158" s="52">
        <v>19</v>
      </c>
      <c r="L158" s="6" t="s">
        <v>91</v>
      </c>
      <c r="M158" s="6" t="s">
        <v>90</v>
      </c>
      <c r="N158" s="6"/>
      <c r="Q158" s="54">
        <f t="shared" si="3"/>
        <v>3.25</v>
      </c>
      <c r="R158">
        <v>0</v>
      </c>
      <c r="S158">
        <v>1</v>
      </c>
    </row>
    <row r="159" spans="10:19" x14ac:dyDescent="0.2">
      <c r="J159" s="43" t="s">
        <v>7</v>
      </c>
      <c r="K159" s="52">
        <v>20</v>
      </c>
      <c r="L159" s="6" t="s">
        <v>91</v>
      </c>
      <c r="M159" s="6" t="s">
        <v>90</v>
      </c>
      <c r="N159" s="6"/>
      <c r="Q159" s="54">
        <f t="shared" si="3"/>
        <v>3.25</v>
      </c>
      <c r="R159">
        <v>0</v>
      </c>
      <c r="S159">
        <v>1</v>
      </c>
    </row>
    <row r="160" spans="10:19" x14ac:dyDescent="0.2">
      <c r="J160" s="43" t="s">
        <v>7</v>
      </c>
      <c r="K160" s="52">
        <v>21</v>
      </c>
      <c r="L160" s="6" t="s">
        <v>91</v>
      </c>
      <c r="M160" s="6" t="s">
        <v>90</v>
      </c>
      <c r="N160" s="6"/>
      <c r="Q160" s="54">
        <f t="shared" si="3"/>
        <v>3.25</v>
      </c>
      <c r="R160">
        <v>0</v>
      </c>
      <c r="S160">
        <v>1</v>
      </c>
    </row>
    <row r="161" spans="10:19" x14ac:dyDescent="0.2">
      <c r="J161" s="43" t="s">
        <v>7</v>
      </c>
      <c r="K161" s="52">
        <v>22</v>
      </c>
      <c r="L161" s="6" t="s">
        <v>91</v>
      </c>
      <c r="M161" s="6" t="s">
        <v>90</v>
      </c>
      <c r="N161" s="6"/>
      <c r="Q161" s="54">
        <f t="shared" si="3"/>
        <v>3.25</v>
      </c>
      <c r="R161">
        <v>0</v>
      </c>
      <c r="S161">
        <v>1</v>
      </c>
    </row>
    <row r="162" spans="10:19" x14ac:dyDescent="0.2">
      <c r="J162" s="43" t="s">
        <v>7</v>
      </c>
      <c r="K162" s="52">
        <v>23</v>
      </c>
      <c r="L162" s="6" t="s">
        <v>91</v>
      </c>
      <c r="M162" s="6" t="s">
        <v>90</v>
      </c>
      <c r="N162" s="6"/>
      <c r="Q162" s="54">
        <f t="shared" si="3"/>
        <v>3.25</v>
      </c>
      <c r="R162">
        <v>0</v>
      </c>
      <c r="S162">
        <v>1</v>
      </c>
    </row>
    <row r="163" spans="10:19" x14ac:dyDescent="0.2">
      <c r="J163" s="43" t="s">
        <v>7</v>
      </c>
      <c r="K163" s="52">
        <v>24</v>
      </c>
      <c r="L163" s="6" t="s">
        <v>91</v>
      </c>
      <c r="M163" s="6" t="s">
        <v>90</v>
      </c>
      <c r="N163" s="6"/>
      <c r="Q163" s="54">
        <f t="shared" si="3"/>
        <v>3.25</v>
      </c>
      <c r="R163">
        <v>0</v>
      </c>
      <c r="S163">
        <v>1</v>
      </c>
    </row>
    <row r="164" spans="10:19" x14ac:dyDescent="0.2">
      <c r="J164" s="43" t="s">
        <v>7</v>
      </c>
      <c r="K164" s="52">
        <v>25</v>
      </c>
      <c r="L164" s="6" t="s">
        <v>91</v>
      </c>
      <c r="M164" s="6" t="s">
        <v>90</v>
      </c>
      <c r="N164" s="6"/>
      <c r="Q164" s="54">
        <f t="shared" si="3"/>
        <v>3.25</v>
      </c>
      <c r="R164">
        <v>0</v>
      </c>
      <c r="S164">
        <v>1</v>
      </c>
    </row>
    <row r="165" spans="10:19" x14ac:dyDescent="0.2">
      <c r="J165" s="43" t="s">
        <v>7</v>
      </c>
      <c r="K165" s="52">
        <v>26</v>
      </c>
      <c r="L165" s="6" t="s">
        <v>91</v>
      </c>
      <c r="M165" s="6" t="s">
        <v>90</v>
      </c>
      <c r="N165" s="6"/>
      <c r="Q165" s="54">
        <f t="shared" si="3"/>
        <v>3.25</v>
      </c>
      <c r="R165">
        <v>0</v>
      </c>
      <c r="S165">
        <v>1</v>
      </c>
    </row>
    <row r="166" spans="10:19" x14ac:dyDescent="0.2">
      <c r="J166" s="43" t="s">
        <v>7</v>
      </c>
      <c r="K166" s="52">
        <v>27</v>
      </c>
      <c r="L166" s="6" t="s">
        <v>91</v>
      </c>
      <c r="M166" s="6" t="s">
        <v>90</v>
      </c>
      <c r="N166" s="6"/>
      <c r="Q166" s="54">
        <f t="shared" si="3"/>
        <v>3.25</v>
      </c>
      <c r="R166">
        <v>0</v>
      </c>
      <c r="S166">
        <v>1</v>
      </c>
    </row>
    <row r="167" spans="10:19" x14ac:dyDescent="0.2">
      <c r="J167" s="43" t="s">
        <v>7</v>
      </c>
      <c r="K167" s="52">
        <v>28</v>
      </c>
      <c r="L167" s="6" t="s">
        <v>91</v>
      </c>
      <c r="M167" s="6" t="s">
        <v>90</v>
      </c>
      <c r="N167" s="6"/>
      <c r="Q167" s="54">
        <f t="shared" si="3"/>
        <v>3.25</v>
      </c>
      <c r="R167">
        <v>0</v>
      </c>
      <c r="S167">
        <v>1</v>
      </c>
    </row>
    <row r="168" spans="10:19" x14ac:dyDescent="0.2">
      <c r="J168" s="43" t="s">
        <v>7</v>
      </c>
      <c r="K168" s="52">
        <v>29</v>
      </c>
      <c r="L168" s="6" t="s">
        <v>91</v>
      </c>
      <c r="M168" s="6" t="s">
        <v>90</v>
      </c>
      <c r="N168" s="6"/>
      <c r="Q168" s="54">
        <f t="shared" si="3"/>
        <v>3.25</v>
      </c>
      <c r="R168">
        <v>0</v>
      </c>
      <c r="S168">
        <v>1</v>
      </c>
    </row>
    <row r="169" spans="10:19" x14ac:dyDescent="0.2">
      <c r="J169" s="43" t="s">
        <v>7</v>
      </c>
      <c r="K169" s="52">
        <v>30</v>
      </c>
      <c r="L169" s="6" t="s">
        <v>91</v>
      </c>
      <c r="M169" s="6" t="s">
        <v>90</v>
      </c>
      <c r="N169" s="6"/>
      <c r="Q169" s="54">
        <f t="shared" si="3"/>
        <v>3.25</v>
      </c>
      <c r="R169">
        <v>0</v>
      </c>
      <c r="S169">
        <v>1</v>
      </c>
    </row>
    <row r="170" spans="10:19" x14ac:dyDescent="0.2">
      <c r="J170" s="43" t="s">
        <v>20</v>
      </c>
      <c r="K170" s="52">
        <v>1</v>
      </c>
      <c r="L170" s="6" t="s">
        <v>90</v>
      </c>
      <c r="M170" s="6" t="s">
        <v>91</v>
      </c>
      <c r="N170" s="6"/>
      <c r="Q170" s="54">
        <f t="shared" si="3"/>
        <v>1.4</v>
      </c>
      <c r="R170">
        <v>0</v>
      </c>
      <c r="S170">
        <v>1</v>
      </c>
    </row>
    <row r="171" spans="10:19" x14ac:dyDescent="0.2">
      <c r="J171" s="43" t="s">
        <v>20</v>
      </c>
      <c r="K171" s="52">
        <v>2</v>
      </c>
      <c r="L171" s="6" t="s">
        <v>90</v>
      </c>
      <c r="M171" s="6" t="s">
        <v>91</v>
      </c>
      <c r="N171" s="6"/>
      <c r="Q171" s="54">
        <f t="shared" si="3"/>
        <v>1.4</v>
      </c>
      <c r="R171">
        <v>0</v>
      </c>
      <c r="S171">
        <v>1</v>
      </c>
    </row>
    <row r="172" spans="10:19" x14ac:dyDescent="0.2">
      <c r="J172" s="43" t="s">
        <v>20</v>
      </c>
      <c r="K172" s="52">
        <v>3</v>
      </c>
      <c r="L172" s="6" t="s">
        <v>90</v>
      </c>
      <c r="M172" s="6" t="s">
        <v>91</v>
      </c>
      <c r="N172" s="6"/>
      <c r="Q172" s="54">
        <f t="shared" si="3"/>
        <v>1.4</v>
      </c>
      <c r="R172">
        <v>0</v>
      </c>
      <c r="S172">
        <v>1</v>
      </c>
    </row>
    <row r="173" spans="10:19" x14ac:dyDescent="0.2">
      <c r="J173" s="43" t="s">
        <v>20</v>
      </c>
      <c r="K173" s="52">
        <v>4</v>
      </c>
      <c r="L173" s="6" t="s">
        <v>90</v>
      </c>
      <c r="M173" s="6" t="s">
        <v>91</v>
      </c>
      <c r="N173" s="6"/>
      <c r="Q173" s="54">
        <f t="shared" si="3"/>
        <v>1.4</v>
      </c>
      <c r="R173">
        <v>0</v>
      </c>
      <c r="S173">
        <v>1</v>
      </c>
    </row>
    <row r="174" spans="10:19" x14ac:dyDescent="0.2">
      <c r="J174" s="43" t="s">
        <v>20</v>
      </c>
      <c r="K174" s="52">
        <v>5</v>
      </c>
      <c r="L174" s="6" t="s">
        <v>90</v>
      </c>
      <c r="M174" s="6" t="s">
        <v>91</v>
      </c>
      <c r="N174" s="6"/>
      <c r="Q174" s="54">
        <f t="shared" si="3"/>
        <v>1.4</v>
      </c>
      <c r="R174">
        <v>0</v>
      </c>
      <c r="S174">
        <v>1</v>
      </c>
    </row>
    <row r="175" spans="10:19" x14ac:dyDescent="0.2">
      <c r="J175" s="43" t="s">
        <v>20</v>
      </c>
      <c r="K175" s="52">
        <v>6</v>
      </c>
      <c r="L175" s="6" t="s">
        <v>90</v>
      </c>
      <c r="M175" s="6" t="s">
        <v>91</v>
      </c>
      <c r="N175" s="6"/>
      <c r="Q175" s="54">
        <f t="shared" si="3"/>
        <v>1.4</v>
      </c>
      <c r="R175">
        <v>0</v>
      </c>
      <c r="S175">
        <v>1</v>
      </c>
    </row>
    <row r="176" spans="10:19" x14ac:dyDescent="0.2">
      <c r="J176" s="43" t="s">
        <v>20</v>
      </c>
      <c r="K176" s="52">
        <v>7</v>
      </c>
      <c r="L176" s="6" t="s">
        <v>90</v>
      </c>
      <c r="M176" s="6" t="s">
        <v>91</v>
      </c>
      <c r="N176" s="6"/>
      <c r="Q176" s="54">
        <f t="shared" si="3"/>
        <v>1.4</v>
      </c>
      <c r="R176">
        <v>0</v>
      </c>
      <c r="S176">
        <v>1</v>
      </c>
    </row>
    <row r="177" spans="10:19" x14ac:dyDescent="0.2">
      <c r="J177" s="43" t="s">
        <v>20</v>
      </c>
      <c r="K177" s="52">
        <v>8</v>
      </c>
      <c r="L177" s="6" t="s">
        <v>91</v>
      </c>
      <c r="M177" s="6" t="s">
        <v>90</v>
      </c>
      <c r="N177" s="6"/>
      <c r="Q177" s="54">
        <f t="shared" si="3"/>
        <v>1.4</v>
      </c>
      <c r="R177">
        <v>0</v>
      </c>
      <c r="S177">
        <v>1</v>
      </c>
    </row>
    <row r="178" spans="10:19" x14ac:dyDescent="0.2">
      <c r="J178" s="43" t="s">
        <v>20</v>
      </c>
      <c r="K178" s="52">
        <v>9</v>
      </c>
      <c r="L178" s="6" t="s">
        <v>91</v>
      </c>
      <c r="M178" s="6" t="s">
        <v>90</v>
      </c>
      <c r="N178" s="6"/>
      <c r="Q178" s="54">
        <f t="shared" si="3"/>
        <v>1.4</v>
      </c>
      <c r="R178">
        <v>0</v>
      </c>
      <c r="S178">
        <v>1</v>
      </c>
    </row>
    <row r="179" spans="10:19" x14ac:dyDescent="0.2">
      <c r="J179" s="43" t="s">
        <v>20</v>
      </c>
      <c r="K179" s="52">
        <v>10</v>
      </c>
      <c r="L179" s="6" t="s">
        <v>91</v>
      </c>
      <c r="M179" s="6" t="s">
        <v>90</v>
      </c>
      <c r="N179" s="6"/>
      <c r="Q179" s="54">
        <f t="shared" si="3"/>
        <v>1.4</v>
      </c>
      <c r="R179">
        <v>0</v>
      </c>
      <c r="S179">
        <v>1</v>
      </c>
    </row>
    <row r="180" spans="10:19" x14ac:dyDescent="0.2">
      <c r="J180" s="43" t="s">
        <v>20</v>
      </c>
      <c r="K180" s="52">
        <v>11</v>
      </c>
      <c r="L180" s="6" t="s">
        <v>91</v>
      </c>
      <c r="M180" s="6" t="s">
        <v>90</v>
      </c>
      <c r="N180" s="6"/>
      <c r="Q180" s="54">
        <f t="shared" si="3"/>
        <v>1.4</v>
      </c>
      <c r="R180">
        <v>0</v>
      </c>
      <c r="S180">
        <v>1</v>
      </c>
    </row>
    <row r="181" spans="10:19" x14ac:dyDescent="0.2">
      <c r="J181" s="43" t="s">
        <v>20</v>
      </c>
      <c r="K181" s="52">
        <v>12</v>
      </c>
      <c r="L181" s="6" t="s">
        <v>91</v>
      </c>
      <c r="M181" s="6" t="s">
        <v>90</v>
      </c>
      <c r="N181" s="6"/>
      <c r="Q181" s="54">
        <f t="shared" si="3"/>
        <v>1.4</v>
      </c>
      <c r="R181">
        <v>0</v>
      </c>
      <c r="S181">
        <v>1</v>
      </c>
    </row>
    <row r="182" spans="10:19" x14ac:dyDescent="0.2">
      <c r="J182" s="43" t="s">
        <v>20</v>
      </c>
      <c r="K182" s="52">
        <v>13</v>
      </c>
      <c r="L182" s="6" t="s">
        <v>91</v>
      </c>
      <c r="M182" s="6" t="s">
        <v>90</v>
      </c>
      <c r="N182" s="6"/>
      <c r="Q182" s="54">
        <f t="shared" si="3"/>
        <v>1.4</v>
      </c>
      <c r="R182">
        <v>0</v>
      </c>
      <c r="S182">
        <v>1</v>
      </c>
    </row>
    <row r="183" spans="10:19" x14ac:dyDescent="0.2">
      <c r="J183" s="43" t="s">
        <v>20</v>
      </c>
      <c r="K183" s="52">
        <v>14</v>
      </c>
      <c r="L183" s="6" t="s">
        <v>91</v>
      </c>
      <c r="M183" s="6" t="s">
        <v>90</v>
      </c>
      <c r="N183" s="6"/>
      <c r="Q183" s="54">
        <f t="shared" si="3"/>
        <v>1.4</v>
      </c>
      <c r="R183">
        <v>0</v>
      </c>
      <c r="S183">
        <v>1</v>
      </c>
    </row>
    <row r="184" spans="10:19" x14ac:dyDescent="0.2">
      <c r="J184" s="43" t="s">
        <v>19</v>
      </c>
      <c r="K184" s="52">
        <v>1</v>
      </c>
      <c r="L184" s="6" t="s">
        <v>90</v>
      </c>
      <c r="M184" s="6" t="s">
        <v>91</v>
      </c>
      <c r="N184" s="6" t="s">
        <v>139</v>
      </c>
      <c r="O184">
        <v>8</v>
      </c>
      <c r="P184">
        <f>ROUND(O184+Q184, 0)</f>
        <v>14</v>
      </c>
      <c r="Q184" s="54">
        <f t="shared" si="3"/>
        <v>6.25</v>
      </c>
      <c r="R184">
        <v>0</v>
      </c>
      <c r="S184">
        <v>1</v>
      </c>
    </row>
    <row r="185" spans="10:19" x14ac:dyDescent="0.2">
      <c r="J185" s="43" t="s">
        <v>19</v>
      </c>
      <c r="K185" s="52">
        <v>2</v>
      </c>
      <c r="L185" s="6" t="s">
        <v>90</v>
      </c>
      <c r="M185" s="6" t="s">
        <v>91</v>
      </c>
      <c r="N185" s="6" t="s">
        <v>126</v>
      </c>
      <c r="O185">
        <v>10</v>
      </c>
      <c r="P185">
        <f t="shared" ref="P185:P195" si="4">ROUND(O185+Q185, 0)</f>
        <v>16</v>
      </c>
      <c r="Q185" s="54">
        <f t="shared" si="3"/>
        <v>6.25</v>
      </c>
      <c r="R185">
        <v>0</v>
      </c>
      <c r="S185">
        <v>1</v>
      </c>
    </row>
    <row r="186" spans="10:19" x14ac:dyDescent="0.2">
      <c r="J186" s="43" t="s">
        <v>19</v>
      </c>
      <c r="K186" s="52">
        <v>3</v>
      </c>
      <c r="L186" s="6" t="s">
        <v>90</v>
      </c>
      <c r="M186" s="6" t="s">
        <v>91</v>
      </c>
      <c r="N186" s="6" t="s">
        <v>140</v>
      </c>
      <c r="O186">
        <v>12</v>
      </c>
      <c r="P186">
        <f t="shared" si="4"/>
        <v>18</v>
      </c>
      <c r="Q186" s="54">
        <f t="shared" si="3"/>
        <v>6.25</v>
      </c>
      <c r="R186">
        <v>0</v>
      </c>
      <c r="S186">
        <v>1</v>
      </c>
    </row>
    <row r="187" spans="10:19" x14ac:dyDescent="0.2">
      <c r="J187" s="43" t="s">
        <v>19</v>
      </c>
      <c r="K187" s="52">
        <v>4</v>
      </c>
      <c r="L187" s="6" t="s">
        <v>90</v>
      </c>
      <c r="M187" s="6" t="s">
        <v>91</v>
      </c>
      <c r="N187" s="6" t="s">
        <v>141</v>
      </c>
      <c r="O187">
        <v>14</v>
      </c>
      <c r="P187">
        <f t="shared" si="4"/>
        <v>20</v>
      </c>
      <c r="Q187" s="54">
        <f t="shared" si="3"/>
        <v>6.25</v>
      </c>
      <c r="R187">
        <v>0</v>
      </c>
      <c r="S187">
        <v>1</v>
      </c>
    </row>
    <row r="188" spans="10:19" x14ac:dyDescent="0.2">
      <c r="J188" s="43" t="s">
        <v>19</v>
      </c>
      <c r="K188" s="52">
        <v>5</v>
      </c>
      <c r="L188" s="6" t="s">
        <v>90</v>
      </c>
      <c r="M188" s="6" t="s">
        <v>91</v>
      </c>
      <c r="N188" s="6" t="s">
        <v>142</v>
      </c>
      <c r="O188">
        <v>17</v>
      </c>
      <c r="P188">
        <f t="shared" si="4"/>
        <v>23</v>
      </c>
      <c r="Q188" s="54">
        <f t="shared" si="3"/>
        <v>6.25</v>
      </c>
      <c r="R188">
        <v>0</v>
      </c>
      <c r="S188">
        <v>1</v>
      </c>
    </row>
    <row r="189" spans="10:19" x14ac:dyDescent="0.2">
      <c r="J189" s="43" t="s">
        <v>19</v>
      </c>
      <c r="K189" s="52">
        <v>6</v>
      </c>
      <c r="L189" s="6" t="s">
        <v>90</v>
      </c>
      <c r="M189" s="6" t="s">
        <v>91</v>
      </c>
      <c r="N189" s="6" t="s">
        <v>143</v>
      </c>
      <c r="O189">
        <v>19</v>
      </c>
      <c r="P189">
        <f t="shared" si="4"/>
        <v>25</v>
      </c>
      <c r="Q189" s="54">
        <f t="shared" si="3"/>
        <v>6.25</v>
      </c>
      <c r="R189">
        <v>0</v>
      </c>
      <c r="S189">
        <v>1</v>
      </c>
    </row>
    <row r="190" spans="10:19" x14ac:dyDescent="0.2">
      <c r="J190" s="43" t="s">
        <v>19</v>
      </c>
      <c r="K190" s="52">
        <v>7</v>
      </c>
      <c r="L190" s="6" t="s">
        <v>91</v>
      </c>
      <c r="M190" s="6" t="s">
        <v>90</v>
      </c>
      <c r="N190" s="6" t="s">
        <v>126</v>
      </c>
      <c r="O190">
        <v>10</v>
      </c>
      <c r="P190">
        <f t="shared" si="4"/>
        <v>16</v>
      </c>
      <c r="Q190" s="54">
        <f t="shared" si="3"/>
        <v>6.25</v>
      </c>
      <c r="R190">
        <v>0</v>
      </c>
      <c r="S190">
        <v>1</v>
      </c>
    </row>
    <row r="191" spans="10:19" x14ac:dyDescent="0.2">
      <c r="J191" s="43" t="s">
        <v>19</v>
      </c>
      <c r="K191" s="52">
        <v>8</v>
      </c>
      <c r="L191" s="6" t="s">
        <v>91</v>
      </c>
      <c r="M191" s="6" t="s">
        <v>90</v>
      </c>
      <c r="N191" s="6" t="s">
        <v>144</v>
      </c>
      <c r="O191">
        <v>11</v>
      </c>
      <c r="P191">
        <f t="shared" si="4"/>
        <v>17</v>
      </c>
      <c r="Q191" s="54">
        <f t="shared" si="3"/>
        <v>6.25</v>
      </c>
      <c r="R191">
        <v>0</v>
      </c>
      <c r="S191">
        <v>1</v>
      </c>
    </row>
    <row r="192" spans="10:19" x14ac:dyDescent="0.2">
      <c r="J192" s="43" t="s">
        <v>19</v>
      </c>
      <c r="K192" s="52">
        <v>9</v>
      </c>
      <c r="L192" s="6" t="s">
        <v>91</v>
      </c>
      <c r="M192" s="6" t="s">
        <v>90</v>
      </c>
      <c r="N192" s="6" t="s">
        <v>132</v>
      </c>
      <c r="O192">
        <v>13</v>
      </c>
      <c r="P192">
        <f t="shared" si="4"/>
        <v>19</v>
      </c>
      <c r="Q192" s="54">
        <f t="shared" si="3"/>
        <v>6.25</v>
      </c>
      <c r="R192">
        <v>0</v>
      </c>
      <c r="S192">
        <v>1</v>
      </c>
    </row>
    <row r="193" spans="10:19" x14ac:dyDescent="0.2">
      <c r="J193" s="43" t="s">
        <v>19</v>
      </c>
      <c r="K193" s="52">
        <v>10</v>
      </c>
      <c r="L193" s="6" t="s">
        <v>91</v>
      </c>
      <c r="M193" s="6" t="s">
        <v>90</v>
      </c>
      <c r="N193" s="6" t="s">
        <v>145</v>
      </c>
      <c r="O193">
        <v>15</v>
      </c>
      <c r="P193">
        <f t="shared" si="4"/>
        <v>21</v>
      </c>
      <c r="Q193" s="54">
        <f t="shared" si="3"/>
        <v>6.25</v>
      </c>
      <c r="R193">
        <v>0</v>
      </c>
      <c r="S193">
        <v>1</v>
      </c>
    </row>
    <row r="194" spans="10:19" x14ac:dyDescent="0.2">
      <c r="J194" s="43" t="s">
        <v>19</v>
      </c>
      <c r="K194" s="52">
        <v>11</v>
      </c>
      <c r="L194" s="6" t="s">
        <v>91</v>
      </c>
      <c r="M194" s="6" t="s">
        <v>90</v>
      </c>
      <c r="N194" s="6" t="s">
        <v>142</v>
      </c>
      <c r="O194">
        <v>17</v>
      </c>
      <c r="P194">
        <f t="shared" si="4"/>
        <v>23</v>
      </c>
      <c r="Q194" s="54">
        <f t="shared" si="3"/>
        <v>6.25</v>
      </c>
      <c r="R194">
        <v>0</v>
      </c>
      <c r="S194">
        <v>1</v>
      </c>
    </row>
    <row r="195" spans="10:19" x14ac:dyDescent="0.2">
      <c r="J195" s="43" t="s">
        <v>19</v>
      </c>
      <c r="K195" s="52">
        <v>12</v>
      </c>
      <c r="L195" s="6" t="s">
        <v>91</v>
      </c>
      <c r="M195" s="6" t="s">
        <v>90</v>
      </c>
      <c r="N195" s="6" t="s">
        <v>146</v>
      </c>
      <c r="O195">
        <v>21</v>
      </c>
      <c r="P195">
        <f t="shared" si="4"/>
        <v>27</v>
      </c>
      <c r="Q195" s="54">
        <f t="shared" si="3"/>
        <v>6.25</v>
      </c>
      <c r="R195">
        <v>0</v>
      </c>
      <c r="S195">
        <v>1</v>
      </c>
    </row>
    <row r="196" spans="10:19" x14ac:dyDescent="0.2">
      <c r="J196" s="43" t="s">
        <v>22</v>
      </c>
      <c r="K196" s="52">
        <v>1</v>
      </c>
      <c r="L196" s="6" t="s">
        <v>90</v>
      </c>
      <c r="M196" s="6" t="s">
        <v>91</v>
      </c>
      <c r="N196" s="6"/>
      <c r="Q196" s="53">
        <f t="shared" si="3"/>
        <v>1.4833000000000001</v>
      </c>
      <c r="R196">
        <v>0</v>
      </c>
      <c r="S196">
        <v>1</v>
      </c>
    </row>
    <row r="197" spans="10:19" x14ac:dyDescent="0.2">
      <c r="J197" s="43" t="s">
        <v>22</v>
      </c>
      <c r="K197" s="52">
        <v>2</v>
      </c>
      <c r="L197" s="6" t="s">
        <v>90</v>
      </c>
      <c r="M197" s="6" t="s">
        <v>91</v>
      </c>
      <c r="N197" s="6"/>
      <c r="Q197" s="53">
        <f t="shared" si="3"/>
        <v>1.4833000000000001</v>
      </c>
      <c r="R197">
        <v>0</v>
      </c>
      <c r="S197">
        <v>1</v>
      </c>
    </row>
    <row r="198" spans="10:19" x14ac:dyDescent="0.2">
      <c r="J198" s="43" t="s">
        <v>22</v>
      </c>
      <c r="K198" s="52">
        <v>3</v>
      </c>
      <c r="L198" s="6" t="s">
        <v>90</v>
      </c>
      <c r="M198" s="6" t="s">
        <v>91</v>
      </c>
      <c r="N198" s="6"/>
      <c r="Q198" s="53">
        <f t="shared" si="3"/>
        <v>1.4833000000000001</v>
      </c>
      <c r="R198">
        <v>0</v>
      </c>
      <c r="S198">
        <v>1</v>
      </c>
    </row>
    <row r="199" spans="10:19" x14ac:dyDescent="0.2">
      <c r="J199" s="43" t="s">
        <v>22</v>
      </c>
      <c r="K199" s="52">
        <v>4</v>
      </c>
      <c r="L199" s="6" t="s">
        <v>90</v>
      </c>
      <c r="M199" s="6" t="s">
        <v>91</v>
      </c>
      <c r="N199" s="6"/>
      <c r="Q199" s="53">
        <f t="shared" si="3"/>
        <v>1.4833000000000001</v>
      </c>
      <c r="R199">
        <v>0</v>
      </c>
      <c r="S199">
        <v>1</v>
      </c>
    </row>
    <row r="200" spans="10:19" x14ac:dyDescent="0.2">
      <c r="J200" s="43" t="s">
        <v>22</v>
      </c>
      <c r="K200" s="52">
        <v>5</v>
      </c>
      <c r="L200" s="6" t="s">
        <v>90</v>
      </c>
      <c r="M200" s="6" t="s">
        <v>91</v>
      </c>
      <c r="N200" s="6"/>
      <c r="Q200" s="53">
        <f t="shared" si="3"/>
        <v>1.4833000000000001</v>
      </c>
      <c r="R200">
        <v>0</v>
      </c>
      <c r="S200">
        <v>1</v>
      </c>
    </row>
    <row r="201" spans="10:19" x14ac:dyDescent="0.2">
      <c r="J201" s="43" t="s">
        <v>22</v>
      </c>
      <c r="K201" s="52">
        <v>6</v>
      </c>
      <c r="L201" s="6" t="s">
        <v>90</v>
      </c>
      <c r="M201" s="6" t="s">
        <v>91</v>
      </c>
      <c r="N201" s="6"/>
      <c r="Q201" s="53">
        <f t="shared" si="3"/>
        <v>1.4833000000000001</v>
      </c>
      <c r="R201">
        <v>0</v>
      </c>
      <c r="S201">
        <v>1</v>
      </c>
    </row>
    <row r="202" spans="10:19" x14ac:dyDescent="0.2">
      <c r="J202" s="43" t="s">
        <v>22</v>
      </c>
      <c r="K202" s="52">
        <v>7</v>
      </c>
      <c r="L202" t="s">
        <v>91</v>
      </c>
      <c r="M202" t="s">
        <v>90</v>
      </c>
      <c r="Q202" s="53">
        <f t="shared" si="3"/>
        <v>1.4833000000000001</v>
      </c>
      <c r="R202">
        <v>0</v>
      </c>
      <c r="S202">
        <v>1</v>
      </c>
    </row>
    <row r="203" spans="10:19" x14ac:dyDescent="0.2">
      <c r="J203" s="43" t="s">
        <v>22</v>
      </c>
      <c r="K203" s="52">
        <v>8</v>
      </c>
      <c r="L203" t="s">
        <v>91</v>
      </c>
      <c r="M203" t="s">
        <v>90</v>
      </c>
      <c r="Q203" s="53">
        <f t="shared" si="3"/>
        <v>1.4833000000000001</v>
      </c>
      <c r="R203">
        <v>0</v>
      </c>
      <c r="S203">
        <v>1</v>
      </c>
    </row>
    <row r="204" spans="10:19" x14ac:dyDescent="0.2">
      <c r="J204" s="43" t="s">
        <v>22</v>
      </c>
      <c r="K204" s="52">
        <v>9</v>
      </c>
      <c r="L204" t="s">
        <v>91</v>
      </c>
      <c r="M204" t="s">
        <v>90</v>
      </c>
      <c r="Q204" s="53">
        <f t="shared" si="3"/>
        <v>1.4833000000000001</v>
      </c>
      <c r="R204">
        <v>0</v>
      </c>
      <c r="S204">
        <v>1</v>
      </c>
    </row>
    <row r="205" spans="10:19" x14ac:dyDescent="0.2">
      <c r="J205" s="43" t="s">
        <v>22</v>
      </c>
      <c r="K205" s="52">
        <v>10</v>
      </c>
      <c r="L205" t="s">
        <v>91</v>
      </c>
      <c r="M205" t="s">
        <v>90</v>
      </c>
      <c r="Q205" s="53">
        <f t="shared" ref="Q205:Q268" si="5">_xlfn.XLOOKUP(J205, A:A, C:C)</f>
        <v>1.4833000000000001</v>
      </c>
      <c r="R205">
        <v>0</v>
      </c>
      <c r="S205">
        <v>1</v>
      </c>
    </row>
    <row r="206" spans="10:19" x14ac:dyDescent="0.2">
      <c r="J206" s="43" t="s">
        <v>22</v>
      </c>
      <c r="K206" s="52">
        <v>11</v>
      </c>
      <c r="L206" t="s">
        <v>91</v>
      </c>
      <c r="M206" t="s">
        <v>90</v>
      </c>
      <c r="Q206" s="53">
        <f t="shared" si="5"/>
        <v>1.4833000000000001</v>
      </c>
      <c r="R206">
        <v>0</v>
      </c>
      <c r="S206">
        <v>1</v>
      </c>
    </row>
    <row r="207" spans="10:19" x14ac:dyDescent="0.2">
      <c r="J207" s="43" t="s">
        <v>22</v>
      </c>
      <c r="K207" s="52">
        <v>12</v>
      </c>
      <c r="L207" t="s">
        <v>91</v>
      </c>
      <c r="M207" t="s">
        <v>90</v>
      </c>
      <c r="Q207" s="53">
        <f t="shared" si="5"/>
        <v>1.4833000000000001</v>
      </c>
      <c r="R207">
        <v>0</v>
      </c>
      <c r="S207">
        <v>1</v>
      </c>
    </row>
    <row r="208" spans="10:19" x14ac:dyDescent="0.2">
      <c r="J208" s="43" t="s">
        <v>22</v>
      </c>
      <c r="K208" s="52">
        <v>13</v>
      </c>
      <c r="L208" t="s">
        <v>91</v>
      </c>
      <c r="M208" t="s">
        <v>90</v>
      </c>
      <c r="Q208" s="53">
        <f t="shared" si="5"/>
        <v>1.4833000000000001</v>
      </c>
      <c r="R208">
        <v>0</v>
      </c>
      <c r="S208">
        <v>1</v>
      </c>
    </row>
    <row r="209" spans="10:19" x14ac:dyDescent="0.2">
      <c r="J209" s="43" t="s">
        <v>22</v>
      </c>
      <c r="K209" s="52">
        <v>14</v>
      </c>
      <c r="L209" t="s">
        <v>91</v>
      </c>
      <c r="M209" t="s">
        <v>90</v>
      </c>
      <c r="Q209" s="53">
        <f t="shared" si="5"/>
        <v>1.4833000000000001</v>
      </c>
      <c r="R209">
        <v>0</v>
      </c>
      <c r="S209">
        <v>1</v>
      </c>
    </row>
    <row r="210" spans="10:19" x14ac:dyDescent="0.2">
      <c r="J210" s="43" t="s">
        <v>24</v>
      </c>
      <c r="K210" s="6">
        <v>1</v>
      </c>
      <c r="L210" t="s">
        <v>90</v>
      </c>
      <c r="M210" t="s">
        <v>91</v>
      </c>
      <c r="Q210" s="53">
        <f t="shared" si="5"/>
        <v>3.8332999999999999</v>
      </c>
      <c r="R210">
        <v>0</v>
      </c>
      <c r="S210">
        <v>1</v>
      </c>
    </row>
    <row r="211" spans="10:19" x14ac:dyDescent="0.2">
      <c r="J211" s="43" t="s">
        <v>24</v>
      </c>
      <c r="K211" s="6">
        <v>2</v>
      </c>
      <c r="L211" t="s">
        <v>90</v>
      </c>
      <c r="M211" t="s">
        <v>91</v>
      </c>
      <c r="Q211" s="53">
        <f t="shared" si="5"/>
        <v>3.8332999999999999</v>
      </c>
      <c r="R211">
        <v>0</v>
      </c>
      <c r="S211">
        <v>1</v>
      </c>
    </row>
    <row r="212" spans="10:19" x14ac:dyDescent="0.2">
      <c r="J212" s="43" t="s">
        <v>24</v>
      </c>
      <c r="K212" s="6">
        <v>3</v>
      </c>
      <c r="L212" t="s">
        <v>90</v>
      </c>
      <c r="M212" t="s">
        <v>91</v>
      </c>
      <c r="Q212" s="53">
        <f t="shared" si="5"/>
        <v>3.8332999999999999</v>
      </c>
      <c r="R212">
        <v>0</v>
      </c>
      <c r="S212">
        <v>1</v>
      </c>
    </row>
    <row r="213" spans="10:19" x14ac:dyDescent="0.2">
      <c r="J213" s="43" t="s">
        <v>24</v>
      </c>
      <c r="K213" s="6">
        <v>4</v>
      </c>
      <c r="L213" t="s">
        <v>90</v>
      </c>
      <c r="M213" t="s">
        <v>91</v>
      </c>
      <c r="Q213" s="53">
        <f t="shared" si="5"/>
        <v>3.8332999999999999</v>
      </c>
      <c r="R213">
        <v>0</v>
      </c>
      <c r="S213">
        <v>1</v>
      </c>
    </row>
    <row r="214" spans="10:19" x14ac:dyDescent="0.2">
      <c r="J214" s="43" t="s">
        <v>24</v>
      </c>
      <c r="K214" s="6">
        <v>5</v>
      </c>
      <c r="L214" t="s">
        <v>90</v>
      </c>
      <c r="M214" t="s">
        <v>91</v>
      </c>
      <c r="Q214" s="53">
        <f t="shared" si="5"/>
        <v>3.8332999999999999</v>
      </c>
      <c r="R214">
        <v>0</v>
      </c>
      <c r="S214">
        <v>1</v>
      </c>
    </row>
    <row r="215" spans="10:19" x14ac:dyDescent="0.2">
      <c r="J215" s="43" t="s">
        <v>24</v>
      </c>
      <c r="K215" s="6">
        <v>6</v>
      </c>
      <c r="L215" t="s">
        <v>90</v>
      </c>
      <c r="M215" t="s">
        <v>91</v>
      </c>
      <c r="Q215" s="53">
        <f t="shared" si="5"/>
        <v>3.8332999999999999</v>
      </c>
      <c r="R215">
        <v>0</v>
      </c>
      <c r="S215">
        <v>1</v>
      </c>
    </row>
    <row r="216" spans="10:19" x14ac:dyDescent="0.2">
      <c r="J216" s="43" t="s">
        <v>24</v>
      </c>
      <c r="K216" s="6">
        <v>7</v>
      </c>
      <c r="L216" t="s">
        <v>90</v>
      </c>
      <c r="M216" t="s">
        <v>91</v>
      </c>
      <c r="Q216" s="53">
        <f t="shared" si="5"/>
        <v>3.8332999999999999</v>
      </c>
      <c r="R216">
        <v>0</v>
      </c>
      <c r="S216">
        <v>1</v>
      </c>
    </row>
    <row r="217" spans="10:19" x14ac:dyDescent="0.2">
      <c r="J217" s="43" t="s">
        <v>24</v>
      </c>
      <c r="K217" s="6">
        <v>8</v>
      </c>
      <c r="L217" t="s">
        <v>90</v>
      </c>
      <c r="M217" t="s">
        <v>91</v>
      </c>
      <c r="Q217" s="53">
        <f t="shared" si="5"/>
        <v>3.8332999999999999</v>
      </c>
      <c r="R217">
        <v>0</v>
      </c>
      <c r="S217">
        <v>1</v>
      </c>
    </row>
    <row r="218" spans="10:19" x14ac:dyDescent="0.2">
      <c r="J218" s="43" t="s">
        <v>24</v>
      </c>
      <c r="K218" s="6">
        <v>9</v>
      </c>
      <c r="L218" t="s">
        <v>90</v>
      </c>
      <c r="M218" t="s">
        <v>91</v>
      </c>
      <c r="Q218" s="53">
        <f t="shared" si="5"/>
        <v>3.8332999999999999</v>
      </c>
      <c r="R218">
        <v>0</v>
      </c>
      <c r="S218">
        <v>1</v>
      </c>
    </row>
    <row r="219" spans="10:19" x14ac:dyDescent="0.2">
      <c r="J219" s="43" t="s">
        <v>24</v>
      </c>
      <c r="K219" s="6">
        <v>10</v>
      </c>
      <c r="L219" t="s">
        <v>90</v>
      </c>
      <c r="M219" t="s">
        <v>91</v>
      </c>
      <c r="Q219" s="53">
        <f t="shared" si="5"/>
        <v>3.8332999999999999</v>
      </c>
      <c r="R219">
        <v>0</v>
      </c>
      <c r="S219">
        <v>1</v>
      </c>
    </row>
    <row r="220" spans="10:19" x14ac:dyDescent="0.2">
      <c r="J220" s="43" t="s">
        <v>24</v>
      </c>
      <c r="K220" s="6">
        <v>11</v>
      </c>
      <c r="L220" t="s">
        <v>90</v>
      </c>
      <c r="M220" t="s">
        <v>91</v>
      </c>
      <c r="Q220" s="53">
        <f t="shared" si="5"/>
        <v>3.8332999999999999</v>
      </c>
      <c r="R220">
        <v>0</v>
      </c>
      <c r="S220">
        <v>1</v>
      </c>
    </row>
    <row r="221" spans="10:19" x14ac:dyDescent="0.2">
      <c r="J221" s="43" t="s">
        <v>24</v>
      </c>
      <c r="K221" s="6">
        <v>12</v>
      </c>
      <c r="L221" t="s">
        <v>90</v>
      </c>
      <c r="M221" t="s">
        <v>91</v>
      </c>
      <c r="Q221" s="53">
        <f t="shared" si="5"/>
        <v>3.8332999999999999</v>
      </c>
      <c r="R221">
        <v>0</v>
      </c>
      <c r="S221">
        <v>1</v>
      </c>
    </row>
    <row r="222" spans="10:19" x14ac:dyDescent="0.2">
      <c r="J222" s="43" t="s">
        <v>24</v>
      </c>
      <c r="K222" s="6">
        <v>13</v>
      </c>
      <c r="L222" t="s">
        <v>90</v>
      </c>
      <c r="M222" t="s">
        <v>91</v>
      </c>
      <c r="Q222" s="53">
        <f t="shared" si="5"/>
        <v>3.8332999999999999</v>
      </c>
      <c r="R222">
        <v>0</v>
      </c>
      <c r="S222">
        <v>1</v>
      </c>
    </row>
    <row r="223" spans="10:19" x14ac:dyDescent="0.2">
      <c r="J223" s="43" t="s">
        <v>24</v>
      </c>
      <c r="K223" s="6">
        <v>14</v>
      </c>
      <c r="L223" t="s">
        <v>90</v>
      </c>
      <c r="M223" t="s">
        <v>91</v>
      </c>
      <c r="Q223" s="53">
        <f t="shared" si="5"/>
        <v>3.8332999999999999</v>
      </c>
      <c r="R223">
        <v>0</v>
      </c>
      <c r="S223">
        <v>1</v>
      </c>
    </row>
    <row r="224" spans="10:19" x14ac:dyDescent="0.2">
      <c r="J224" s="43" t="s">
        <v>24</v>
      </c>
      <c r="K224" s="6">
        <v>15</v>
      </c>
      <c r="L224" t="s">
        <v>91</v>
      </c>
      <c r="M224" t="s">
        <v>91</v>
      </c>
      <c r="Q224" s="53">
        <f t="shared" si="5"/>
        <v>3.8332999999999999</v>
      </c>
      <c r="R224">
        <v>0</v>
      </c>
      <c r="S224">
        <v>1</v>
      </c>
    </row>
    <row r="225" spans="10:19" x14ac:dyDescent="0.2">
      <c r="J225" s="43" t="s">
        <v>24</v>
      </c>
      <c r="K225" s="6">
        <v>16</v>
      </c>
      <c r="L225" t="s">
        <v>91</v>
      </c>
      <c r="M225" t="s">
        <v>90</v>
      </c>
      <c r="Q225" s="53">
        <f t="shared" si="5"/>
        <v>3.8332999999999999</v>
      </c>
      <c r="R225">
        <v>0</v>
      </c>
      <c r="S225">
        <v>1</v>
      </c>
    </row>
    <row r="226" spans="10:19" x14ac:dyDescent="0.2">
      <c r="J226" s="43" t="s">
        <v>24</v>
      </c>
      <c r="K226" s="6">
        <v>17</v>
      </c>
      <c r="L226" t="s">
        <v>91</v>
      </c>
      <c r="M226" t="s">
        <v>90</v>
      </c>
      <c r="Q226" s="53">
        <f t="shared" si="5"/>
        <v>3.8332999999999999</v>
      </c>
      <c r="R226">
        <v>0</v>
      </c>
      <c r="S226">
        <v>1</v>
      </c>
    </row>
    <row r="227" spans="10:19" x14ac:dyDescent="0.2">
      <c r="J227" s="43" t="s">
        <v>24</v>
      </c>
      <c r="K227" s="6">
        <v>18</v>
      </c>
      <c r="L227" t="s">
        <v>91</v>
      </c>
      <c r="M227" t="s">
        <v>90</v>
      </c>
      <c r="Q227" s="53">
        <f t="shared" si="5"/>
        <v>3.8332999999999999</v>
      </c>
      <c r="R227">
        <v>0</v>
      </c>
      <c r="S227">
        <v>1</v>
      </c>
    </row>
    <row r="228" spans="10:19" x14ac:dyDescent="0.2">
      <c r="J228" s="43" t="s">
        <v>24</v>
      </c>
      <c r="K228" s="6">
        <v>19</v>
      </c>
      <c r="L228" t="s">
        <v>91</v>
      </c>
      <c r="M228" t="s">
        <v>90</v>
      </c>
      <c r="Q228" s="53">
        <f t="shared" si="5"/>
        <v>3.8332999999999999</v>
      </c>
      <c r="R228">
        <v>0</v>
      </c>
      <c r="S228">
        <v>1</v>
      </c>
    </row>
    <row r="229" spans="10:19" x14ac:dyDescent="0.2">
      <c r="J229" s="43" t="s">
        <v>24</v>
      </c>
      <c r="K229" s="6">
        <v>20</v>
      </c>
      <c r="L229" t="s">
        <v>91</v>
      </c>
      <c r="M229" t="s">
        <v>90</v>
      </c>
      <c r="Q229" s="53">
        <f t="shared" si="5"/>
        <v>3.8332999999999999</v>
      </c>
      <c r="R229">
        <v>0</v>
      </c>
      <c r="S229">
        <v>1</v>
      </c>
    </row>
    <row r="230" spans="10:19" x14ac:dyDescent="0.2">
      <c r="J230" s="43" t="s">
        <v>24</v>
      </c>
      <c r="K230" s="6">
        <v>21</v>
      </c>
      <c r="L230" t="s">
        <v>91</v>
      </c>
      <c r="M230" t="s">
        <v>90</v>
      </c>
      <c r="Q230" s="53">
        <f t="shared" si="5"/>
        <v>3.8332999999999999</v>
      </c>
      <c r="R230">
        <v>0</v>
      </c>
      <c r="S230">
        <v>1</v>
      </c>
    </row>
    <row r="231" spans="10:19" x14ac:dyDescent="0.2">
      <c r="J231" s="43" t="s">
        <v>24</v>
      </c>
      <c r="K231" s="6">
        <v>22</v>
      </c>
      <c r="L231" t="s">
        <v>91</v>
      </c>
      <c r="M231" t="s">
        <v>90</v>
      </c>
      <c r="Q231" s="53">
        <f t="shared" si="5"/>
        <v>3.8332999999999999</v>
      </c>
      <c r="R231">
        <v>0</v>
      </c>
      <c r="S231">
        <v>1</v>
      </c>
    </row>
    <row r="232" spans="10:19" x14ac:dyDescent="0.2">
      <c r="J232" s="43" t="s">
        <v>24</v>
      </c>
      <c r="K232" s="6">
        <v>23</v>
      </c>
      <c r="L232" t="s">
        <v>91</v>
      </c>
      <c r="M232" t="s">
        <v>90</v>
      </c>
      <c r="Q232" s="53">
        <f t="shared" si="5"/>
        <v>3.8332999999999999</v>
      </c>
      <c r="R232">
        <v>0</v>
      </c>
      <c r="S232">
        <v>1</v>
      </c>
    </row>
    <row r="233" spans="10:19" x14ac:dyDescent="0.2">
      <c r="J233" s="43" t="s">
        <v>24</v>
      </c>
      <c r="K233" s="6">
        <v>24</v>
      </c>
      <c r="L233" t="s">
        <v>91</v>
      </c>
      <c r="M233" t="s">
        <v>90</v>
      </c>
      <c r="Q233" s="53">
        <f t="shared" si="5"/>
        <v>3.8332999999999999</v>
      </c>
      <c r="R233">
        <v>0</v>
      </c>
      <c r="S233">
        <v>1</v>
      </c>
    </row>
    <row r="234" spans="10:19" x14ac:dyDescent="0.2">
      <c r="J234" s="43" t="s">
        <v>24</v>
      </c>
      <c r="K234" s="6">
        <v>25</v>
      </c>
      <c r="L234" t="s">
        <v>91</v>
      </c>
      <c r="M234" t="s">
        <v>90</v>
      </c>
      <c r="Q234" s="53">
        <f t="shared" si="5"/>
        <v>3.8332999999999999</v>
      </c>
      <c r="R234">
        <v>0</v>
      </c>
      <c r="S234">
        <v>1</v>
      </c>
    </row>
    <row r="235" spans="10:19" x14ac:dyDescent="0.2">
      <c r="J235" s="43" t="s">
        <v>24</v>
      </c>
      <c r="K235" s="6">
        <v>26</v>
      </c>
      <c r="L235" t="s">
        <v>91</v>
      </c>
      <c r="M235" t="s">
        <v>90</v>
      </c>
      <c r="Q235" s="53">
        <f t="shared" si="5"/>
        <v>3.8332999999999999</v>
      </c>
      <c r="R235">
        <v>0</v>
      </c>
      <c r="S235">
        <v>1</v>
      </c>
    </row>
    <row r="236" spans="10:19" x14ac:dyDescent="0.2">
      <c r="J236" s="43" t="s">
        <v>24</v>
      </c>
      <c r="K236" s="6">
        <v>27</v>
      </c>
      <c r="L236" t="s">
        <v>91</v>
      </c>
      <c r="M236" t="s">
        <v>90</v>
      </c>
      <c r="Q236" s="53">
        <f t="shared" si="5"/>
        <v>3.8332999999999999</v>
      </c>
      <c r="R236">
        <v>0</v>
      </c>
      <c r="S236">
        <v>1</v>
      </c>
    </row>
    <row r="237" spans="10:19" x14ac:dyDescent="0.2">
      <c r="J237" s="43" t="s">
        <v>24</v>
      </c>
      <c r="K237" s="6">
        <v>28</v>
      </c>
      <c r="L237" t="s">
        <v>91</v>
      </c>
      <c r="M237" t="s">
        <v>90</v>
      </c>
      <c r="Q237" s="53">
        <f t="shared" si="5"/>
        <v>3.8332999999999999</v>
      </c>
      <c r="R237">
        <v>0</v>
      </c>
      <c r="S237">
        <v>1</v>
      </c>
    </row>
    <row r="238" spans="10:19" x14ac:dyDescent="0.2">
      <c r="J238" s="43" t="s">
        <v>28</v>
      </c>
      <c r="K238" s="6">
        <v>1</v>
      </c>
      <c r="L238" t="s">
        <v>90</v>
      </c>
      <c r="M238" t="s">
        <v>91</v>
      </c>
      <c r="Q238" s="53">
        <f t="shared" si="5"/>
        <v>3.7166999999999999</v>
      </c>
      <c r="R238">
        <v>0</v>
      </c>
      <c r="S238">
        <v>1</v>
      </c>
    </row>
    <row r="239" spans="10:19" x14ac:dyDescent="0.2">
      <c r="J239" s="43" t="s">
        <v>28</v>
      </c>
      <c r="K239" s="6">
        <v>2</v>
      </c>
      <c r="L239" t="s">
        <v>90</v>
      </c>
      <c r="M239" t="s">
        <v>91</v>
      </c>
      <c r="Q239" s="53">
        <f t="shared" si="5"/>
        <v>3.7166999999999999</v>
      </c>
      <c r="R239">
        <v>0</v>
      </c>
      <c r="S239">
        <v>1</v>
      </c>
    </row>
    <row r="240" spans="10:19" x14ac:dyDescent="0.2">
      <c r="J240" s="43" t="s">
        <v>28</v>
      </c>
      <c r="K240" s="6">
        <v>3</v>
      </c>
      <c r="L240" t="s">
        <v>91</v>
      </c>
      <c r="M240" t="s">
        <v>90</v>
      </c>
      <c r="Q240" s="53">
        <f t="shared" si="5"/>
        <v>3.7166999999999999</v>
      </c>
      <c r="R240">
        <v>0</v>
      </c>
      <c r="S240">
        <v>1</v>
      </c>
    </row>
    <row r="241" spans="10:19" x14ac:dyDescent="0.2">
      <c r="J241" s="43" t="s">
        <v>28</v>
      </c>
      <c r="K241" s="6">
        <v>4</v>
      </c>
      <c r="L241" t="s">
        <v>91</v>
      </c>
      <c r="M241" t="s">
        <v>90</v>
      </c>
      <c r="Q241" s="53">
        <f t="shared" si="5"/>
        <v>3.7166999999999999</v>
      </c>
      <c r="R241">
        <v>0</v>
      </c>
      <c r="S241">
        <v>1</v>
      </c>
    </row>
    <row r="242" spans="10:19" x14ac:dyDescent="0.2">
      <c r="J242" s="43" t="s">
        <v>31</v>
      </c>
      <c r="K242" s="6">
        <v>1</v>
      </c>
      <c r="L242" t="s">
        <v>90</v>
      </c>
      <c r="M242" t="s">
        <v>91</v>
      </c>
      <c r="Q242" s="53">
        <f t="shared" si="5"/>
        <v>12.5</v>
      </c>
      <c r="R242">
        <v>0</v>
      </c>
      <c r="S242">
        <v>1</v>
      </c>
    </row>
    <row r="243" spans="10:19" x14ac:dyDescent="0.2">
      <c r="J243" s="43" t="s">
        <v>31</v>
      </c>
      <c r="K243" s="6">
        <v>2</v>
      </c>
      <c r="L243" t="s">
        <v>90</v>
      </c>
      <c r="M243" t="s">
        <v>91</v>
      </c>
      <c r="Q243" s="53">
        <f t="shared" si="5"/>
        <v>12.5</v>
      </c>
      <c r="R243">
        <v>0</v>
      </c>
      <c r="S243">
        <v>1</v>
      </c>
    </row>
    <row r="244" spans="10:19" x14ac:dyDescent="0.2">
      <c r="J244" s="43" t="s">
        <v>31</v>
      </c>
      <c r="K244" s="6">
        <v>3</v>
      </c>
      <c r="L244" t="s">
        <v>90</v>
      </c>
      <c r="M244" t="s">
        <v>91</v>
      </c>
      <c r="Q244" s="53">
        <f t="shared" si="5"/>
        <v>12.5</v>
      </c>
      <c r="R244">
        <v>0</v>
      </c>
      <c r="S244">
        <v>1</v>
      </c>
    </row>
    <row r="245" spans="10:19" x14ac:dyDescent="0.2">
      <c r="J245" s="43" t="s">
        <v>31</v>
      </c>
      <c r="K245" s="6">
        <v>4</v>
      </c>
      <c r="L245" t="s">
        <v>90</v>
      </c>
      <c r="M245" t="s">
        <v>91</v>
      </c>
      <c r="Q245" s="53">
        <f t="shared" si="5"/>
        <v>12.5</v>
      </c>
      <c r="R245">
        <v>0</v>
      </c>
      <c r="S245">
        <v>1</v>
      </c>
    </row>
    <row r="246" spans="10:19" x14ac:dyDescent="0.2">
      <c r="J246" s="43" t="s">
        <v>31</v>
      </c>
      <c r="K246" s="6">
        <v>5</v>
      </c>
      <c r="L246" t="s">
        <v>90</v>
      </c>
      <c r="M246" t="s">
        <v>91</v>
      </c>
      <c r="Q246" s="53">
        <f t="shared" si="5"/>
        <v>12.5</v>
      </c>
      <c r="R246">
        <v>0</v>
      </c>
      <c r="S246">
        <v>1</v>
      </c>
    </row>
    <row r="247" spans="10:19" x14ac:dyDescent="0.2">
      <c r="J247" s="43" t="s">
        <v>31</v>
      </c>
      <c r="K247" s="6">
        <v>6</v>
      </c>
      <c r="L247" t="s">
        <v>90</v>
      </c>
      <c r="M247" t="s">
        <v>91</v>
      </c>
      <c r="Q247" s="53">
        <f t="shared" si="5"/>
        <v>12.5</v>
      </c>
      <c r="R247">
        <v>0</v>
      </c>
      <c r="S247">
        <v>1</v>
      </c>
    </row>
    <row r="248" spans="10:19" x14ac:dyDescent="0.2">
      <c r="J248" s="43" t="s">
        <v>31</v>
      </c>
      <c r="K248" s="6">
        <v>7</v>
      </c>
      <c r="L248" t="s">
        <v>90</v>
      </c>
      <c r="M248" t="s">
        <v>91</v>
      </c>
      <c r="Q248" s="53">
        <f t="shared" si="5"/>
        <v>12.5</v>
      </c>
      <c r="R248">
        <v>0</v>
      </c>
      <c r="S248">
        <v>1</v>
      </c>
    </row>
    <row r="249" spans="10:19" x14ac:dyDescent="0.2">
      <c r="J249" s="43" t="s">
        <v>31</v>
      </c>
      <c r="K249" s="6">
        <v>8</v>
      </c>
      <c r="L249" t="s">
        <v>90</v>
      </c>
      <c r="M249" t="s">
        <v>91</v>
      </c>
      <c r="Q249" s="53">
        <f t="shared" si="5"/>
        <v>12.5</v>
      </c>
      <c r="R249">
        <v>0</v>
      </c>
      <c r="S249">
        <v>1</v>
      </c>
    </row>
    <row r="250" spans="10:19" x14ac:dyDescent="0.2">
      <c r="J250" s="43" t="s">
        <v>31</v>
      </c>
      <c r="K250" s="6">
        <v>9</v>
      </c>
      <c r="L250" t="s">
        <v>90</v>
      </c>
      <c r="M250" t="s">
        <v>91</v>
      </c>
      <c r="Q250" s="53">
        <f t="shared" si="5"/>
        <v>12.5</v>
      </c>
      <c r="R250">
        <v>0</v>
      </c>
      <c r="S250">
        <v>1</v>
      </c>
    </row>
    <row r="251" spans="10:19" x14ac:dyDescent="0.2">
      <c r="J251" s="43" t="s">
        <v>31</v>
      </c>
      <c r="K251" s="6">
        <v>10</v>
      </c>
      <c r="L251" t="s">
        <v>90</v>
      </c>
      <c r="M251" t="s">
        <v>91</v>
      </c>
      <c r="Q251" s="53">
        <f t="shared" si="5"/>
        <v>12.5</v>
      </c>
      <c r="R251">
        <v>0</v>
      </c>
      <c r="S251">
        <v>1</v>
      </c>
    </row>
    <row r="252" spans="10:19" x14ac:dyDescent="0.2">
      <c r="J252" s="43" t="s">
        <v>31</v>
      </c>
      <c r="K252" s="6">
        <v>11</v>
      </c>
      <c r="L252" t="s">
        <v>90</v>
      </c>
      <c r="M252" t="s">
        <v>91</v>
      </c>
      <c r="Q252" s="53">
        <f t="shared" si="5"/>
        <v>12.5</v>
      </c>
      <c r="R252">
        <v>0</v>
      </c>
      <c r="S252">
        <v>1</v>
      </c>
    </row>
    <row r="253" spans="10:19" x14ac:dyDescent="0.2">
      <c r="J253" s="43" t="s">
        <v>31</v>
      </c>
      <c r="K253" s="6">
        <v>12</v>
      </c>
      <c r="L253" t="s">
        <v>90</v>
      </c>
      <c r="M253" t="s">
        <v>91</v>
      </c>
      <c r="Q253" s="53">
        <f t="shared" si="5"/>
        <v>12.5</v>
      </c>
      <c r="R253">
        <v>0</v>
      </c>
      <c r="S253">
        <v>1</v>
      </c>
    </row>
    <row r="254" spans="10:19" x14ac:dyDescent="0.2">
      <c r="J254" s="43" t="s">
        <v>31</v>
      </c>
      <c r="K254" s="6">
        <v>13</v>
      </c>
      <c r="L254" t="s">
        <v>90</v>
      </c>
      <c r="M254" t="s">
        <v>91</v>
      </c>
      <c r="Q254" s="53">
        <f t="shared" si="5"/>
        <v>12.5</v>
      </c>
      <c r="R254">
        <v>0</v>
      </c>
      <c r="S254">
        <v>1</v>
      </c>
    </row>
    <row r="255" spans="10:19" x14ac:dyDescent="0.2">
      <c r="J255" s="43" t="s">
        <v>31</v>
      </c>
      <c r="K255" s="6">
        <v>14</v>
      </c>
      <c r="L255" t="s">
        <v>90</v>
      </c>
      <c r="M255" t="s">
        <v>91</v>
      </c>
      <c r="Q255" s="53">
        <f t="shared" si="5"/>
        <v>12.5</v>
      </c>
      <c r="R255">
        <v>0</v>
      </c>
      <c r="S255">
        <v>1</v>
      </c>
    </row>
    <row r="256" spans="10:19" x14ac:dyDescent="0.2">
      <c r="J256" s="43" t="s">
        <v>31</v>
      </c>
      <c r="K256" s="6">
        <v>15</v>
      </c>
      <c r="L256" t="s">
        <v>90</v>
      </c>
      <c r="M256" t="s">
        <v>91</v>
      </c>
      <c r="Q256" s="53">
        <f t="shared" si="5"/>
        <v>12.5</v>
      </c>
      <c r="R256">
        <v>0</v>
      </c>
      <c r="S256">
        <v>1</v>
      </c>
    </row>
    <row r="257" spans="10:19" x14ac:dyDescent="0.2">
      <c r="J257" s="43" t="s">
        <v>31</v>
      </c>
      <c r="K257" s="6">
        <v>16</v>
      </c>
      <c r="L257" t="s">
        <v>90</v>
      </c>
      <c r="M257" t="s">
        <v>91</v>
      </c>
      <c r="Q257" s="53">
        <f t="shared" si="5"/>
        <v>12.5</v>
      </c>
      <c r="R257">
        <v>0</v>
      </c>
      <c r="S257">
        <v>1</v>
      </c>
    </row>
    <row r="258" spans="10:19" x14ac:dyDescent="0.2">
      <c r="J258" s="43" t="s">
        <v>31</v>
      </c>
      <c r="K258" s="6">
        <v>17</v>
      </c>
      <c r="L258" t="s">
        <v>90</v>
      </c>
      <c r="M258" t="s">
        <v>91</v>
      </c>
      <c r="Q258" s="53">
        <f t="shared" si="5"/>
        <v>12.5</v>
      </c>
      <c r="R258">
        <v>0</v>
      </c>
      <c r="S258">
        <v>1</v>
      </c>
    </row>
    <row r="259" spans="10:19" x14ac:dyDescent="0.2">
      <c r="J259" s="43" t="s">
        <v>31</v>
      </c>
      <c r="K259" s="6">
        <v>18</v>
      </c>
      <c r="L259" t="s">
        <v>90</v>
      </c>
      <c r="M259" t="s">
        <v>91</v>
      </c>
      <c r="Q259" s="53">
        <f t="shared" si="5"/>
        <v>12.5</v>
      </c>
      <c r="R259">
        <v>0</v>
      </c>
      <c r="S259">
        <v>1</v>
      </c>
    </row>
    <row r="260" spans="10:19" x14ac:dyDescent="0.2">
      <c r="J260" s="43" t="s">
        <v>31</v>
      </c>
      <c r="K260" s="6">
        <v>19</v>
      </c>
      <c r="L260" t="s">
        <v>90</v>
      </c>
      <c r="M260" t="s">
        <v>91</v>
      </c>
      <c r="Q260" s="53">
        <f t="shared" si="5"/>
        <v>12.5</v>
      </c>
      <c r="R260">
        <v>0</v>
      </c>
      <c r="S260">
        <v>1</v>
      </c>
    </row>
    <row r="261" spans="10:19" x14ac:dyDescent="0.2">
      <c r="J261" s="43" t="s">
        <v>31</v>
      </c>
      <c r="K261" s="6">
        <v>20</v>
      </c>
      <c r="L261" t="s">
        <v>90</v>
      </c>
      <c r="M261" t="s">
        <v>91</v>
      </c>
      <c r="Q261" s="53">
        <f t="shared" si="5"/>
        <v>12.5</v>
      </c>
      <c r="R261">
        <v>0</v>
      </c>
      <c r="S261">
        <v>1</v>
      </c>
    </row>
    <row r="262" spans="10:19" x14ac:dyDescent="0.2">
      <c r="J262" s="43" t="s">
        <v>31</v>
      </c>
      <c r="K262" s="6">
        <v>21</v>
      </c>
      <c r="L262" t="s">
        <v>91</v>
      </c>
      <c r="M262" t="s">
        <v>90</v>
      </c>
      <c r="Q262" s="53">
        <f t="shared" si="5"/>
        <v>12.5</v>
      </c>
      <c r="R262">
        <v>0</v>
      </c>
      <c r="S262">
        <v>1</v>
      </c>
    </row>
    <row r="263" spans="10:19" x14ac:dyDescent="0.2">
      <c r="J263" s="43" t="s">
        <v>31</v>
      </c>
      <c r="K263" s="6">
        <v>22</v>
      </c>
      <c r="L263" t="s">
        <v>91</v>
      </c>
      <c r="M263" t="s">
        <v>90</v>
      </c>
      <c r="Q263" s="53">
        <f t="shared" si="5"/>
        <v>12.5</v>
      </c>
      <c r="R263">
        <v>0</v>
      </c>
      <c r="S263">
        <v>1</v>
      </c>
    </row>
    <row r="264" spans="10:19" x14ac:dyDescent="0.2">
      <c r="J264" s="43" t="s">
        <v>31</v>
      </c>
      <c r="K264" s="6">
        <v>23</v>
      </c>
      <c r="L264" t="s">
        <v>91</v>
      </c>
      <c r="M264" t="s">
        <v>90</v>
      </c>
      <c r="Q264" s="53">
        <f t="shared" si="5"/>
        <v>12.5</v>
      </c>
      <c r="R264">
        <v>0</v>
      </c>
      <c r="S264">
        <v>1</v>
      </c>
    </row>
    <row r="265" spans="10:19" x14ac:dyDescent="0.2">
      <c r="J265" s="43" t="s">
        <v>31</v>
      </c>
      <c r="K265" s="6">
        <v>24</v>
      </c>
      <c r="L265" t="s">
        <v>91</v>
      </c>
      <c r="M265" t="s">
        <v>90</v>
      </c>
      <c r="Q265" s="53">
        <f t="shared" si="5"/>
        <v>12.5</v>
      </c>
      <c r="R265">
        <v>0</v>
      </c>
      <c r="S265">
        <v>1</v>
      </c>
    </row>
    <row r="266" spans="10:19" x14ac:dyDescent="0.2">
      <c r="J266" s="43" t="s">
        <v>31</v>
      </c>
      <c r="K266" s="6">
        <v>25</v>
      </c>
      <c r="L266" t="s">
        <v>91</v>
      </c>
      <c r="M266" t="s">
        <v>90</v>
      </c>
      <c r="Q266" s="53">
        <f t="shared" si="5"/>
        <v>12.5</v>
      </c>
      <c r="R266">
        <v>0</v>
      </c>
      <c r="S266">
        <v>1</v>
      </c>
    </row>
    <row r="267" spans="10:19" x14ac:dyDescent="0.2">
      <c r="J267" s="43" t="s">
        <v>31</v>
      </c>
      <c r="K267" s="6">
        <v>26</v>
      </c>
      <c r="L267" t="s">
        <v>91</v>
      </c>
      <c r="M267" t="s">
        <v>90</v>
      </c>
      <c r="Q267" s="53">
        <f t="shared" si="5"/>
        <v>12.5</v>
      </c>
      <c r="R267">
        <v>0</v>
      </c>
      <c r="S267">
        <v>1</v>
      </c>
    </row>
    <row r="268" spans="10:19" x14ac:dyDescent="0.2">
      <c r="J268" s="43" t="s">
        <v>31</v>
      </c>
      <c r="K268" s="6">
        <v>27</v>
      </c>
      <c r="L268" t="s">
        <v>91</v>
      </c>
      <c r="M268" t="s">
        <v>90</v>
      </c>
      <c r="Q268" s="53">
        <f t="shared" si="5"/>
        <v>12.5</v>
      </c>
      <c r="R268">
        <v>0</v>
      </c>
      <c r="S268">
        <v>1</v>
      </c>
    </row>
    <row r="269" spans="10:19" x14ac:dyDescent="0.2">
      <c r="J269" s="43" t="s">
        <v>31</v>
      </c>
      <c r="K269" s="6">
        <v>28</v>
      </c>
      <c r="L269" t="s">
        <v>91</v>
      </c>
      <c r="M269" t="s">
        <v>90</v>
      </c>
      <c r="Q269" s="53">
        <f t="shared" ref="Q269:Q329" si="6">_xlfn.XLOOKUP(J269, A:A, C:C)</f>
        <v>12.5</v>
      </c>
      <c r="R269">
        <v>0</v>
      </c>
      <c r="S269">
        <v>1</v>
      </c>
    </row>
    <row r="270" spans="10:19" x14ac:dyDescent="0.2">
      <c r="J270" s="43" t="s">
        <v>31</v>
      </c>
      <c r="K270" s="6">
        <v>29</v>
      </c>
      <c r="L270" t="s">
        <v>91</v>
      </c>
      <c r="M270" t="s">
        <v>90</v>
      </c>
      <c r="Q270" s="53">
        <f t="shared" si="6"/>
        <v>12.5</v>
      </c>
      <c r="R270">
        <v>0</v>
      </c>
      <c r="S270">
        <v>1</v>
      </c>
    </row>
    <row r="271" spans="10:19" x14ac:dyDescent="0.2">
      <c r="J271" s="43" t="s">
        <v>31</v>
      </c>
      <c r="K271" s="6">
        <v>30</v>
      </c>
      <c r="L271" t="s">
        <v>91</v>
      </c>
      <c r="M271" t="s">
        <v>90</v>
      </c>
      <c r="Q271" s="53">
        <f t="shared" si="6"/>
        <v>12.5</v>
      </c>
      <c r="R271">
        <v>0</v>
      </c>
      <c r="S271">
        <v>1</v>
      </c>
    </row>
    <row r="272" spans="10:19" x14ac:dyDescent="0.2">
      <c r="J272" s="43" t="s">
        <v>31</v>
      </c>
      <c r="K272" s="6">
        <v>31</v>
      </c>
      <c r="L272" t="s">
        <v>91</v>
      </c>
      <c r="M272" t="s">
        <v>90</v>
      </c>
      <c r="Q272" s="53">
        <f t="shared" si="6"/>
        <v>12.5</v>
      </c>
      <c r="R272">
        <v>0</v>
      </c>
      <c r="S272">
        <v>1</v>
      </c>
    </row>
    <row r="273" spans="8:19" x14ac:dyDescent="0.2">
      <c r="J273" s="43" t="s">
        <v>31</v>
      </c>
      <c r="K273" s="6">
        <v>32</v>
      </c>
      <c r="L273" t="s">
        <v>91</v>
      </c>
      <c r="M273" t="s">
        <v>90</v>
      </c>
      <c r="Q273" s="53">
        <f t="shared" si="6"/>
        <v>12.5</v>
      </c>
      <c r="R273">
        <v>0</v>
      </c>
      <c r="S273">
        <v>1</v>
      </c>
    </row>
    <row r="274" spans="8:19" x14ac:dyDescent="0.2">
      <c r="J274" s="43" t="s">
        <v>31</v>
      </c>
      <c r="K274" s="6">
        <v>33</v>
      </c>
      <c r="L274" t="s">
        <v>91</v>
      </c>
      <c r="M274" t="s">
        <v>90</v>
      </c>
      <c r="Q274" s="53">
        <f t="shared" si="6"/>
        <v>12.5</v>
      </c>
      <c r="R274">
        <v>0</v>
      </c>
      <c r="S274">
        <v>1</v>
      </c>
    </row>
    <row r="275" spans="8:19" x14ac:dyDescent="0.2">
      <c r="J275" s="43" t="s">
        <v>31</v>
      </c>
      <c r="K275" s="6">
        <v>34</v>
      </c>
      <c r="L275" t="s">
        <v>91</v>
      </c>
      <c r="M275" t="s">
        <v>90</v>
      </c>
      <c r="Q275" s="53">
        <f t="shared" si="6"/>
        <v>12.5</v>
      </c>
      <c r="R275">
        <v>0</v>
      </c>
      <c r="S275">
        <v>1</v>
      </c>
    </row>
    <row r="276" spans="8:19" x14ac:dyDescent="0.2">
      <c r="J276" s="43" t="s">
        <v>31</v>
      </c>
      <c r="K276" s="6">
        <v>35</v>
      </c>
      <c r="L276" t="s">
        <v>91</v>
      </c>
      <c r="M276" t="s">
        <v>90</v>
      </c>
      <c r="Q276" s="53">
        <f t="shared" si="6"/>
        <v>12.5</v>
      </c>
      <c r="R276">
        <v>0</v>
      </c>
      <c r="S276">
        <v>1</v>
      </c>
    </row>
    <row r="277" spans="8:19" x14ac:dyDescent="0.2">
      <c r="J277" s="43" t="s">
        <v>31</v>
      </c>
      <c r="K277" s="6">
        <v>36</v>
      </c>
      <c r="L277" t="s">
        <v>91</v>
      </c>
      <c r="M277" t="s">
        <v>90</v>
      </c>
      <c r="Q277" s="53">
        <f t="shared" si="6"/>
        <v>12.5</v>
      </c>
      <c r="R277">
        <v>0</v>
      </c>
      <c r="S277">
        <v>1</v>
      </c>
    </row>
    <row r="278" spans="8:19" x14ac:dyDescent="0.2">
      <c r="J278" s="43" t="s">
        <v>31</v>
      </c>
      <c r="K278" s="6">
        <v>37</v>
      </c>
      <c r="L278" t="s">
        <v>91</v>
      </c>
      <c r="M278" t="s">
        <v>90</v>
      </c>
      <c r="Q278" s="53">
        <f t="shared" si="6"/>
        <v>12.5</v>
      </c>
      <c r="R278">
        <v>0</v>
      </c>
      <c r="S278">
        <v>1</v>
      </c>
    </row>
    <row r="279" spans="8:19" x14ac:dyDescent="0.2">
      <c r="J279" s="43" t="s">
        <v>31</v>
      </c>
      <c r="K279" s="6">
        <v>38</v>
      </c>
      <c r="L279" t="s">
        <v>91</v>
      </c>
      <c r="M279" t="s">
        <v>90</v>
      </c>
      <c r="Q279" s="53">
        <f t="shared" si="6"/>
        <v>12.5</v>
      </c>
      <c r="R279">
        <v>0</v>
      </c>
      <c r="S279">
        <v>1</v>
      </c>
    </row>
    <row r="280" spans="8:19" x14ac:dyDescent="0.2">
      <c r="J280" s="43" t="s">
        <v>31</v>
      </c>
      <c r="K280" s="6">
        <v>39</v>
      </c>
      <c r="L280" t="s">
        <v>91</v>
      </c>
      <c r="M280" t="s">
        <v>90</v>
      </c>
      <c r="Q280" s="53">
        <f t="shared" si="6"/>
        <v>12.5</v>
      </c>
      <c r="R280">
        <v>0</v>
      </c>
      <c r="S280">
        <v>1</v>
      </c>
    </row>
    <row r="281" spans="8:19" x14ac:dyDescent="0.2">
      <c r="J281" s="43" t="s">
        <v>31</v>
      </c>
      <c r="K281" s="6">
        <v>40</v>
      </c>
      <c r="L281" t="s">
        <v>91</v>
      </c>
      <c r="M281" t="s">
        <v>90</v>
      </c>
      <c r="Q281" s="53">
        <f t="shared" si="6"/>
        <v>12.5</v>
      </c>
      <c r="R281">
        <v>0</v>
      </c>
      <c r="S281">
        <v>1</v>
      </c>
    </row>
    <row r="282" spans="8:19" x14ac:dyDescent="0.2">
      <c r="H282" s="56" t="s">
        <v>110</v>
      </c>
      <c r="I282" s="56" t="s">
        <v>108</v>
      </c>
      <c r="J282" s="57" t="s">
        <v>10</v>
      </c>
      <c r="K282" s="58">
        <v>1</v>
      </c>
      <c r="L282" s="56" t="s">
        <v>90</v>
      </c>
      <c r="M282" s="56" t="s">
        <v>91</v>
      </c>
      <c r="N282" s="56"/>
      <c r="O282" s="56"/>
      <c r="P282" s="56"/>
      <c r="Q282" s="59">
        <f t="shared" si="6"/>
        <v>10.417</v>
      </c>
      <c r="R282">
        <v>0.25</v>
      </c>
      <c r="S282">
        <v>1</v>
      </c>
    </row>
    <row r="283" spans="8:19" x14ac:dyDescent="0.2">
      <c r="H283" s="56" t="s">
        <v>110</v>
      </c>
      <c r="I283" s="56" t="s">
        <v>108</v>
      </c>
      <c r="J283" s="57" t="s">
        <v>10</v>
      </c>
      <c r="K283" s="58">
        <v>2</v>
      </c>
      <c r="L283" s="56" t="s">
        <v>90</v>
      </c>
      <c r="M283" s="56" t="s">
        <v>91</v>
      </c>
      <c r="N283" s="56"/>
      <c r="O283" s="56"/>
      <c r="P283" s="56"/>
      <c r="Q283" s="59">
        <f t="shared" si="6"/>
        <v>10.417</v>
      </c>
      <c r="R283">
        <v>0.25</v>
      </c>
      <c r="S283">
        <v>1</v>
      </c>
    </row>
    <row r="284" spans="8:19" x14ac:dyDescent="0.2">
      <c r="H284" s="56" t="s">
        <v>110</v>
      </c>
      <c r="I284" s="56" t="s">
        <v>108</v>
      </c>
      <c r="J284" s="57" t="s">
        <v>10</v>
      </c>
      <c r="K284" s="58">
        <v>3</v>
      </c>
      <c r="L284" s="56" t="s">
        <v>90</v>
      </c>
      <c r="M284" s="56" t="s">
        <v>91</v>
      </c>
      <c r="N284" s="56"/>
      <c r="O284" s="56"/>
      <c r="P284" s="56"/>
      <c r="Q284" s="59">
        <f t="shared" si="6"/>
        <v>10.417</v>
      </c>
      <c r="R284">
        <v>0.25</v>
      </c>
      <c r="S284">
        <v>0.75</v>
      </c>
    </row>
    <row r="285" spans="8:19" x14ac:dyDescent="0.2">
      <c r="H285" s="56" t="s">
        <v>110</v>
      </c>
      <c r="I285" s="56" t="s">
        <v>108</v>
      </c>
      <c r="J285" s="57" t="s">
        <v>10</v>
      </c>
      <c r="K285" s="58">
        <v>4</v>
      </c>
      <c r="L285" s="56" t="s">
        <v>90</v>
      </c>
      <c r="M285" s="56" t="s">
        <v>91</v>
      </c>
      <c r="N285" s="56"/>
      <c r="O285" s="56"/>
      <c r="P285" s="56"/>
      <c r="Q285" s="59">
        <f t="shared" si="6"/>
        <v>10.417</v>
      </c>
      <c r="R285">
        <v>0.25</v>
      </c>
      <c r="S285">
        <v>0.75</v>
      </c>
    </row>
    <row r="286" spans="8:19" x14ac:dyDescent="0.2">
      <c r="H286" s="45" t="s">
        <v>110</v>
      </c>
      <c r="I286" s="45" t="s">
        <v>109</v>
      </c>
      <c r="J286" s="55" t="s">
        <v>10</v>
      </c>
      <c r="K286" s="60">
        <v>5</v>
      </c>
      <c r="L286" s="45" t="s">
        <v>90</v>
      </c>
      <c r="M286" s="45" t="s">
        <v>91</v>
      </c>
      <c r="N286" s="45"/>
      <c r="O286" s="45"/>
      <c r="P286" s="45"/>
      <c r="Q286" s="53">
        <f t="shared" si="6"/>
        <v>10.417</v>
      </c>
      <c r="R286">
        <v>0</v>
      </c>
      <c r="S286">
        <v>0.75</v>
      </c>
    </row>
    <row r="287" spans="8:19" x14ac:dyDescent="0.2">
      <c r="H287" s="45" t="s">
        <v>110</v>
      </c>
      <c r="I287" s="45" t="s">
        <v>109</v>
      </c>
      <c r="J287" s="55" t="s">
        <v>10</v>
      </c>
      <c r="K287" s="60">
        <v>6</v>
      </c>
      <c r="L287" s="45" t="s">
        <v>90</v>
      </c>
      <c r="M287" s="45" t="s">
        <v>91</v>
      </c>
      <c r="N287" s="45"/>
      <c r="O287" s="45"/>
      <c r="P287" s="45"/>
      <c r="Q287" s="53">
        <f t="shared" si="6"/>
        <v>10.417</v>
      </c>
      <c r="R287">
        <v>0</v>
      </c>
      <c r="S287">
        <v>0.75</v>
      </c>
    </row>
    <row r="288" spans="8:19" x14ac:dyDescent="0.2">
      <c r="H288" s="56" t="s">
        <v>110</v>
      </c>
      <c r="I288" s="56" t="s">
        <v>108</v>
      </c>
      <c r="J288" s="57" t="s">
        <v>10</v>
      </c>
      <c r="K288" s="58">
        <v>7</v>
      </c>
      <c r="L288" s="56" t="s">
        <v>91</v>
      </c>
      <c r="M288" s="56" t="s">
        <v>91</v>
      </c>
      <c r="N288" s="56"/>
      <c r="O288" s="56"/>
      <c r="P288" s="56"/>
      <c r="Q288" s="59">
        <f t="shared" si="6"/>
        <v>10.417</v>
      </c>
      <c r="R288">
        <v>0.25</v>
      </c>
      <c r="S288">
        <v>1</v>
      </c>
    </row>
    <row r="289" spans="8:19" x14ac:dyDescent="0.2">
      <c r="H289" s="56" t="s">
        <v>110</v>
      </c>
      <c r="I289" s="56" t="s">
        <v>108</v>
      </c>
      <c r="J289" s="57" t="s">
        <v>10</v>
      </c>
      <c r="K289" s="58">
        <v>8</v>
      </c>
      <c r="L289" s="56" t="s">
        <v>91</v>
      </c>
      <c r="M289" s="56" t="s">
        <v>90</v>
      </c>
      <c r="N289" s="56"/>
      <c r="O289" s="56"/>
      <c r="P289" s="56"/>
      <c r="Q289" s="59">
        <f t="shared" si="6"/>
        <v>10.417</v>
      </c>
      <c r="R289">
        <v>0.25</v>
      </c>
      <c r="S289">
        <v>1</v>
      </c>
    </row>
    <row r="290" spans="8:19" x14ac:dyDescent="0.2">
      <c r="H290" s="56" t="s">
        <v>110</v>
      </c>
      <c r="I290" s="56" t="s">
        <v>108</v>
      </c>
      <c r="J290" s="57" t="s">
        <v>10</v>
      </c>
      <c r="K290" s="58">
        <v>9</v>
      </c>
      <c r="L290" s="56" t="s">
        <v>91</v>
      </c>
      <c r="M290" s="56" t="s">
        <v>90</v>
      </c>
      <c r="N290" s="56"/>
      <c r="O290" s="56"/>
      <c r="P290" s="56"/>
      <c r="Q290" s="59">
        <f t="shared" si="6"/>
        <v>10.417</v>
      </c>
      <c r="R290">
        <v>0.25</v>
      </c>
      <c r="S290">
        <v>0.75</v>
      </c>
    </row>
    <row r="291" spans="8:19" x14ac:dyDescent="0.2">
      <c r="H291" s="56" t="s">
        <v>110</v>
      </c>
      <c r="I291" s="56" t="s">
        <v>108</v>
      </c>
      <c r="J291" s="57" t="s">
        <v>10</v>
      </c>
      <c r="K291" s="58">
        <v>10</v>
      </c>
      <c r="L291" s="56" t="s">
        <v>91</v>
      </c>
      <c r="M291" s="56" t="s">
        <v>90</v>
      </c>
      <c r="N291" s="56"/>
      <c r="O291" s="56"/>
      <c r="P291" s="56"/>
      <c r="Q291" s="59">
        <f t="shared" si="6"/>
        <v>10.417</v>
      </c>
      <c r="R291">
        <v>0.25</v>
      </c>
      <c r="S291">
        <v>0.75</v>
      </c>
    </row>
    <row r="292" spans="8:19" x14ac:dyDescent="0.2">
      <c r="H292" s="45" t="s">
        <v>110</v>
      </c>
      <c r="I292" s="45" t="s">
        <v>109</v>
      </c>
      <c r="J292" s="55" t="s">
        <v>10</v>
      </c>
      <c r="K292" s="60">
        <v>11</v>
      </c>
      <c r="L292" s="45" t="s">
        <v>91</v>
      </c>
      <c r="M292" s="45" t="s">
        <v>90</v>
      </c>
      <c r="N292" s="45"/>
      <c r="O292" s="45"/>
      <c r="P292" s="45"/>
      <c r="Q292" s="53">
        <f t="shared" si="6"/>
        <v>10.417</v>
      </c>
      <c r="R292">
        <v>0</v>
      </c>
      <c r="S292">
        <v>0.75</v>
      </c>
    </row>
    <row r="293" spans="8:19" x14ac:dyDescent="0.2">
      <c r="H293" s="45" t="s">
        <v>110</v>
      </c>
      <c r="I293" s="45" t="s">
        <v>109</v>
      </c>
      <c r="J293" s="55" t="s">
        <v>10</v>
      </c>
      <c r="K293" s="60">
        <v>12</v>
      </c>
      <c r="L293" s="45" t="s">
        <v>91</v>
      </c>
      <c r="M293" s="45" t="s">
        <v>90</v>
      </c>
      <c r="N293" s="45"/>
      <c r="O293" s="45"/>
      <c r="P293" s="45"/>
      <c r="Q293" s="53">
        <f t="shared" si="6"/>
        <v>10.417</v>
      </c>
      <c r="R293">
        <v>0</v>
      </c>
      <c r="S293">
        <v>0.75</v>
      </c>
    </row>
    <row r="294" spans="8:19" x14ac:dyDescent="0.2">
      <c r="H294" s="56" t="s">
        <v>110</v>
      </c>
      <c r="I294" s="56" t="s">
        <v>111</v>
      </c>
      <c r="J294" s="57" t="s">
        <v>16</v>
      </c>
      <c r="K294" s="58">
        <v>1</v>
      </c>
      <c r="L294" s="56" t="s">
        <v>90</v>
      </c>
      <c r="M294" s="56" t="s">
        <v>91</v>
      </c>
      <c r="N294" s="56"/>
      <c r="O294" s="56"/>
      <c r="P294" s="56"/>
      <c r="Q294" s="59">
        <f t="shared" si="6"/>
        <v>7.3333000000000004</v>
      </c>
      <c r="R294">
        <v>0.25</v>
      </c>
      <c r="S294">
        <v>1</v>
      </c>
    </row>
    <row r="295" spans="8:19" x14ac:dyDescent="0.2">
      <c r="H295" s="56" t="s">
        <v>110</v>
      </c>
      <c r="I295" s="56" t="s">
        <v>111</v>
      </c>
      <c r="J295" s="57" t="s">
        <v>16</v>
      </c>
      <c r="K295" s="58">
        <v>2</v>
      </c>
      <c r="L295" s="56" t="s">
        <v>90</v>
      </c>
      <c r="M295" s="56" t="s">
        <v>91</v>
      </c>
      <c r="N295" s="56"/>
      <c r="O295" s="56"/>
      <c r="P295" s="56"/>
      <c r="Q295" s="59">
        <f t="shared" si="6"/>
        <v>7.3333000000000004</v>
      </c>
      <c r="R295">
        <v>0.25</v>
      </c>
      <c r="S295">
        <v>1</v>
      </c>
    </row>
    <row r="296" spans="8:19" x14ac:dyDescent="0.2">
      <c r="H296" s="56" t="s">
        <v>110</v>
      </c>
      <c r="I296" s="56" t="s">
        <v>111</v>
      </c>
      <c r="J296" s="57" t="s">
        <v>16</v>
      </c>
      <c r="K296" s="58">
        <v>3</v>
      </c>
      <c r="L296" s="56" t="s">
        <v>90</v>
      </c>
      <c r="M296" s="56" t="s">
        <v>91</v>
      </c>
      <c r="N296" s="56"/>
      <c r="O296" s="56"/>
      <c r="P296" s="56"/>
      <c r="Q296" s="59">
        <f t="shared" si="6"/>
        <v>7.3333000000000004</v>
      </c>
      <c r="R296">
        <v>0.25</v>
      </c>
      <c r="S296">
        <v>0.75</v>
      </c>
    </row>
    <row r="297" spans="8:19" x14ac:dyDescent="0.2">
      <c r="H297" s="56" t="s">
        <v>110</v>
      </c>
      <c r="I297" s="56" t="s">
        <v>111</v>
      </c>
      <c r="J297" s="57" t="s">
        <v>16</v>
      </c>
      <c r="K297" s="58">
        <v>4</v>
      </c>
      <c r="L297" s="56" t="s">
        <v>90</v>
      </c>
      <c r="M297" s="56" t="s">
        <v>91</v>
      </c>
      <c r="N297" s="56"/>
      <c r="O297" s="56"/>
      <c r="P297" s="56"/>
      <c r="Q297" s="59">
        <f t="shared" si="6"/>
        <v>7.3333000000000004</v>
      </c>
      <c r="R297">
        <v>0.25</v>
      </c>
      <c r="S297">
        <v>0.75</v>
      </c>
    </row>
    <row r="298" spans="8:19" x14ac:dyDescent="0.2">
      <c r="H298" s="56" t="s">
        <v>110</v>
      </c>
      <c r="I298" s="56" t="s">
        <v>111</v>
      </c>
      <c r="J298" s="57" t="s">
        <v>16</v>
      </c>
      <c r="K298" s="58">
        <v>5</v>
      </c>
      <c r="L298" s="56" t="s">
        <v>90</v>
      </c>
      <c r="M298" s="56" t="s">
        <v>91</v>
      </c>
      <c r="N298" s="56"/>
      <c r="O298" s="56"/>
      <c r="P298" s="56"/>
      <c r="Q298" s="59">
        <f t="shared" si="6"/>
        <v>7.3333000000000004</v>
      </c>
      <c r="R298">
        <v>0.25</v>
      </c>
      <c r="S298">
        <v>0.75</v>
      </c>
    </row>
    <row r="299" spans="8:19" x14ac:dyDescent="0.2">
      <c r="H299" s="56" t="s">
        <v>110</v>
      </c>
      <c r="I299" s="56" t="s">
        <v>111</v>
      </c>
      <c r="J299" s="57" t="s">
        <v>16</v>
      </c>
      <c r="K299" s="58">
        <v>6</v>
      </c>
      <c r="L299" s="56" t="s">
        <v>90</v>
      </c>
      <c r="M299" s="56" t="s">
        <v>91</v>
      </c>
      <c r="N299" s="56"/>
      <c r="O299" s="56"/>
      <c r="P299" s="56"/>
      <c r="Q299" s="59">
        <f t="shared" si="6"/>
        <v>7.3333000000000004</v>
      </c>
      <c r="R299">
        <v>0.25</v>
      </c>
      <c r="S299">
        <v>0.75</v>
      </c>
    </row>
    <row r="300" spans="8:19" x14ac:dyDescent="0.2">
      <c r="H300" t="s">
        <v>110</v>
      </c>
      <c r="I300" t="s">
        <v>112</v>
      </c>
      <c r="J300" s="43" t="s">
        <v>16</v>
      </c>
      <c r="K300" s="6">
        <v>7</v>
      </c>
      <c r="L300" t="s">
        <v>90</v>
      </c>
      <c r="M300" t="s">
        <v>91</v>
      </c>
      <c r="Q300" s="53">
        <f t="shared" si="6"/>
        <v>7.3333000000000004</v>
      </c>
      <c r="R300">
        <v>0</v>
      </c>
      <c r="S300">
        <v>0.75</v>
      </c>
    </row>
    <row r="301" spans="8:19" x14ac:dyDescent="0.2">
      <c r="H301" t="s">
        <v>110</v>
      </c>
      <c r="I301" t="s">
        <v>112</v>
      </c>
      <c r="J301" s="43" t="s">
        <v>16</v>
      </c>
      <c r="K301" s="6">
        <v>8</v>
      </c>
      <c r="L301" t="s">
        <v>90</v>
      </c>
      <c r="M301" t="s">
        <v>91</v>
      </c>
      <c r="Q301" s="53">
        <f t="shared" si="6"/>
        <v>7.3333000000000004</v>
      </c>
      <c r="R301">
        <v>0</v>
      </c>
      <c r="S301">
        <v>0.75</v>
      </c>
    </row>
    <row r="302" spans="8:19" x14ac:dyDescent="0.2">
      <c r="H302" s="56" t="s">
        <v>110</v>
      </c>
      <c r="I302" s="56" t="s">
        <v>111</v>
      </c>
      <c r="J302" s="57" t="s">
        <v>16</v>
      </c>
      <c r="K302" s="58">
        <v>9</v>
      </c>
      <c r="L302" s="56" t="s">
        <v>91</v>
      </c>
      <c r="M302" s="56" t="s">
        <v>90</v>
      </c>
      <c r="N302" s="56"/>
      <c r="O302" s="56"/>
      <c r="P302" s="56"/>
      <c r="Q302" s="59">
        <f t="shared" si="6"/>
        <v>7.3333000000000004</v>
      </c>
      <c r="R302">
        <v>0.25</v>
      </c>
      <c r="S302">
        <v>1</v>
      </c>
    </row>
    <row r="303" spans="8:19" x14ac:dyDescent="0.2">
      <c r="H303" s="56" t="s">
        <v>110</v>
      </c>
      <c r="I303" s="56" t="s">
        <v>111</v>
      </c>
      <c r="J303" s="57" t="s">
        <v>16</v>
      </c>
      <c r="K303" s="58">
        <v>10</v>
      </c>
      <c r="L303" s="56" t="s">
        <v>91</v>
      </c>
      <c r="M303" s="56" t="s">
        <v>90</v>
      </c>
      <c r="N303" s="56"/>
      <c r="O303" s="56"/>
      <c r="P303" s="56"/>
      <c r="Q303" s="59">
        <f t="shared" si="6"/>
        <v>7.3333000000000004</v>
      </c>
      <c r="R303">
        <v>0.25</v>
      </c>
      <c r="S303">
        <v>1</v>
      </c>
    </row>
    <row r="304" spans="8:19" x14ac:dyDescent="0.2">
      <c r="H304" s="56" t="s">
        <v>110</v>
      </c>
      <c r="I304" s="56" t="s">
        <v>111</v>
      </c>
      <c r="J304" s="57" t="s">
        <v>16</v>
      </c>
      <c r="K304" s="58">
        <v>11</v>
      </c>
      <c r="L304" s="56" t="s">
        <v>91</v>
      </c>
      <c r="M304" s="56" t="s">
        <v>90</v>
      </c>
      <c r="N304" s="56"/>
      <c r="O304" s="56"/>
      <c r="P304" s="56"/>
      <c r="Q304" s="59">
        <f t="shared" si="6"/>
        <v>7.3333000000000004</v>
      </c>
      <c r="R304">
        <v>0.25</v>
      </c>
      <c r="S304">
        <v>0.75</v>
      </c>
    </row>
    <row r="305" spans="8:19" x14ac:dyDescent="0.2">
      <c r="H305" s="56" t="s">
        <v>110</v>
      </c>
      <c r="I305" s="56" t="s">
        <v>111</v>
      </c>
      <c r="J305" s="57" t="s">
        <v>16</v>
      </c>
      <c r="K305" s="58">
        <v>12</v>
      </c>
      <c r="L305" s="56" t="s">
        <v>91</v>
      </c>
      <c r="M305" s="56" t="s">
        <v>90</v>
      </c>
      <c r="N305" s="56"/>
      <c r="O305" s="56"/>
      <c r="P305" s="56"/>
      <c r="Q305" s="59">
        <f t="shared" si="6"/>
        <v>7.3333000000000004</v>
      </c>
      <c r="R305">
        <v>0.25</v>
      </c>
      <c r="S305">
        <v>0.75</v>
      </c>
    </row>
    <row r="306" spans="8:19" x14ac:dyDescent="0.2">
      <c r="H306" s="56" t="s">
        <v>110</v>
      </c>
      <c r="I306" s="56" t="s">
        <v>111</v>
      </c>
      <c r="J306" s="57" t="s">
        <v>16</v>
      </c>
      <c r="K306" s="58">
        <v>13</v>
      </c>
      <c r="L306" s="56" t="s">
        <v>91</v>
      </c>
      <c r="M306" s="56" t="s">
        <v>90</v>
      </c>
      <c r="N306" s="56"/>
      <c r="O306" s="56"/>
      <c r="P306" s="56"/>
      <c r="Q306" s="59">
        <f t="shared" si="6"/>
        <v>7.3333000000000004</v>
      </c>
      <c r="R306">
        <v>0.25</v>
      </c>
      <c r="S306">
        <v>0.75</v>
      </c>
    </row>
    <row r="307" spans="8:19" x14ac:dyDescent="0.2">
      <c r="H307" s="56" t="s">
        <v>110</v>
      </c>
      <c r="I307" s="56" t="s">
        <v>111</v>
      </c>
      <c r="J307" s="57" t="s">
        <v>16</v>
      </c>
      <c r="K307" s="58">
        <v>14</v>
      </c>
      <c r="L307" s="56" t="s">
        <v>91</v>
      </c>
      <c r="M307" s="56" t="s">
        <v>90</v>
      </c>
      <c r="N307" s="56"/>
      <c r="O307" s="56"/>
      <c r="P307" s="56"/>
      <c r="Q307" s="59">
        <f t="shared" si="6"/>
        <v>7.3333000000000004</v>
      </c>
      <c r="R307">
        <v>0.25</v>
      </c>
      <c r="S307">
        <v>0.75</v>
      </c>
    </row>
    <row r="308" spans="8:19" x14ac:dyDescent="0.2">
      <c r="H308" t="s">
        <v>110</v>
      </c>
      <c r="I308" t="s">
        <v>112</v>
      </c>
      <c r="J308" s="43" t="s">
        <v>16</v>
      </c>
      <c r="K308" s="6">
        <v>15</v>
      </c>
      <c r="L308" t="s">
        <v>91</v>
      </c>
      <c r="M308" t="s">
        <v>90</v>
      </c>
      <c r="Q308" s="53">
        <f t="shared" si="6"/>
        <v>7.3333000000000004</v>
      </c>
      <c r="R308">
        <v>0</v>
      </c>
      <c r="S308">
        <v>0.75</v>
      </c>
    </row>
    <row r="309" spans="8:19" x14ac:dyDescent="0.2">
      <c r="H309" t="s">
        <v>110</v>
      </c>
      <c r="I309" t="s">
        <v>112</v>
      </c>
      <c r="J309" s="43" t="s">
        <v>16</v>
      </c>
      <c r="K309" s="6">
        <v>16</v>
      </c>
      <c r="L309" t="s">
        <v>91</v>
      </c>
      <c r="M309" t="s">
        <v>90</v>
      </c>
      <c r="Q309" s="53">
        <f t="shared" si="6"/>
        <v>7.3333000000000004</v>
      </c>
      <c r="R309">
        <v>0</v>
      </c>
      <c r="S309">
        <v>0.75</v>
      </c>
    </row>
    <row r="310" spans="8:19" x14ac:dyDescent="0.2">
      <c r="H310" s="56" t="s">
        <v>99</v>
      </c>
      <c r="I310" s="56" t="s">
        <v>114</v>
      </c>
      <c r="J310" s="57" t="s">
        <v>23</v>
      </c>
      <c r="K310" s="58">
        <v>1</v>
      </c>
      <c r="L310" s="56" t="s">
        <v>90</v>
      </c>
      <c r="M310" s="56" t="s">
        <v>91</v>
      </c>
      <c r="N310" s="56"/>
      <c r="O310" s="56"/>
      <c r="P310" s="56"/>
      <c r="Q310" s="59">
        <f t="shared" si="6"/>
        <v>5.5</v>
      </c>
      <c r="S310">
        <v>1</v>
      </c>
    </row>
    <row r="311" spans="8:19" x14ac:dyDescent="0.2">
      <c r="H311" s="56" t="s">
        <v>99</v>
      </c>
      <c r="I311" s="56" t="s">
        <v>114</v>
      </c>
      <c r="J311" s="57" t="s">
        <v>23</v>
      </c>
      <c r="K311" s="58">
        <v>2</v>
      </c>
      <c r="L311" s="56" t="s">
        <v>90</v>
      </c>
      <c r="M311" s="56" t="s">
        <v>91</v>
      </c>
      <c r="N311" s="56"/>
      <c r="O311" s="56"/>
      <c r="P311" s="56"/>
      <c r="Q311" s="59">
        <f t="shared" si="6"/>
        <v>5.5</v>
      </c>
      <c r="S311">
        <v>1</v>
      </c>
    </row>
    <row r="312" spans="8:19" x14ac:dyDescent="0.2">
      <c r="H312" s="56" t="s">
        <v>99</v>
      </c>
      <c r="I312" s="56" t="s">
        <v>114</v>
      </c>
      <c r="J312" s="57" t="s">
        <v>23</v>
      </c>
      <c r="K312" s="58">
        <v>3</v>
      </c>
      <c r="L312" s="56" t="s">
        <v>91</v>
      </c>
      <c r="M312" s="56" t="s">
        <v>90</v>
      </c>
      <c r="N312" s="56"/>
      <c r="O312" s="56"/>
      <c r="P312" s="56"/>
      <c r="Q312" s="59">
        <f t="shared" si="6"/>
        <v>5.5</v>
      </c>
    </row>
    <row r="313" spans="8:19" x14ac:dyDescent="0.2">
      <c r="H313" s="56" t="s">
        <v>99</v>
      </c>
      <c r="I313" s="56" t="s">
        <v>114</v>
      </c>
      <c r="J313" s="57" t="s">
        <v>23</v>
      </c>
      <c r="K313" s="58">
        <v>4</v>
      </c>
      <c r="L313" s="56" t="s">
        <v>91</v>
      </c>
      <c r="M313" s="56" t="s">
        <v>90</v>
      </c>
      <c r="N313" s="56"/>
      <c r="O313" s="56"/>
      <c r="P313" s="56"/>
      <c r="Q313" s="59">
        <f t="shared" si="6"/>
        <v>5.5</v>
      </c>
    </row>
    <row r="314" spans="8:19" x14ac:dyDescent="0.2">
      <c r="H314" t="s">
        <v>99</v>
      </c>
      <c r="I314" t="s">
        <v>115</v>
      </c>
      <c r="J314" s="43" t="s">
        <v>23</v>
      </c>
      <c r="K314" s="6">
        <v>3</v>
      </c>
      <c r="L314" t="s">
        <v>90</v>
      </c>
      <c r="M314" t="s">
        <v>91</v>
      </c>
      <c r="Q314" s="53">
        <f t="shared" si="6"/>
        <v>5.5</v>
      </c>
    </row>
    <row r="315" spans="8:19" x14ac:dyDescent="0.2">
      <c r="H315" t="s">
        <v>99</v>
      </c>
      <c r="I315" t="s">
        <v>115</v>
      </c>
      <c r="J315" s="43" t="s">
        <v>23</v>
      </c>
      <c r="K315" s="6">
        <v>4</v>
      </c>
      <c r="L315" t="s">
        <v>90</v>
      </c>
      <c r="M315" t="s">
        <v>91</v>
      </c>
      <c r="Q315" s="53">
        <f t="shared" si="6"/>
        <v>5.5</v>
      </c>
    </row>
    <row r="316" spans="8:19" x14ac:dyDescent="0.2">
      <c r="H316" t="s">
        <v>99</v>
      </c>
      <c r="I316" t="s">
        <v>115</v>
      </c>
      <c r="J316" s="43" t="s">
        <v>23</v>
      </c>
      <c r="K316" s="6">
        <v>5</v>
      </c>
      <c r="L316" t="s">
        <v>91</v>
      </c>
      <c r="M316" t="s">
        <v>90</v>
      </c>
      <c r="Q316" s="53">
        <f t="shared" si="6"/>
        <v>5.5</v>
      </c>
    </row>
    <row r="317" spans="8:19" x14ac:dyDescent="0.2">
      <c r="H317" t="s">
        <v>99</v>
      </c>
      <c r="I317" t="s">
        <v>115</v>
      </c>
      <c r="J317" s="43" t="s">
        <v>23</v>
      </c>
      <c r="K317" s="6">
        <v>6</v>
      </c>
      <c r="L317" t="s">
        <v>91</v>
      </c>
      <c r="M317" t="s">
        <v>90</v>
      </c>
      <c r="Q317" s="53">
        <f t="shared" si="6"/>
        <v>5.5</v>
      </c>
    </row>
    <row r="318" spans="8:19" x14ac:dyDescent="0.2">
      <c r="H318" s="56" t="s">
        <v>99</v>
      </c>
      <c r="I318" s="56" t="s">
        <v>116</v>
      </c>
      <c r="J318" s="57" t="s">
        <v>23</v>
      </c>
      <c r="K318" s="6">
        <v>7</v>
      </c>
      <c r="L318" t="s">
        <v>90</v>
      </c>
      <c r="M318" t="s">
        <v>91</v>
      </c>
      <c r="Q318" s="53">
        <f t="shared" si="6"/>
        <v>5.5</v>
      </c>
    </row>
    <row r="319" spans="8:19" x14ac:dyDescent="0.2">
      <c r="H319" s="56" t="s">
        <v>99</v>
      </c>
      <c r="I319" s="56" t="s">
        <v>116</v>
      </c>
      <c r="J319" s="57" t="s">
        <v>23</v>
      </c>
      <c r="K319" s="6">
        <v>8</v>
      </c>
      <c r="L319" t="s">
        <v>91</v>
      </c>
      <c r="M319" t="s">
        <v>90</v>
      </c>
      <c r="Q319" s="53">
        <f t="shared" si="6"/>
        <v>5.5</v>
      </c>
    </row>
    <row r="320" spans="8:19" x14ac:dyDescent="0.2">
      <c r="H320" s="45" t="s">
        <v>99</v>
      </c>
      <c r="I320" t="s">
        <v>117</v>
      </c>
      <c r="J320" s="43" t="s">
        <v>29</v>
      </c>
      <c r="K320" s="6">
        <v>1</v>
      </c>
      <c r="L320" t="s">
        <v>90</v>
      </c>
      <c r="M320" t="s">
        <v>91</v>
      </c>
      <c r="Q320" s="53">
        <f t="shared" si="6"/>
        <v>6.5</v>
      </c>
    </row>
    <row r="321" spans="8:17" x14ac:dyDescent="0.2">
      <c r="H321" s="45" t="s">
        <v>99</v>
      </c>
      <c r="I321" t="s">
        <v>117</v>
      </c>
      <c r="J321" s="43" t="s">
        <v>29</v>
      </c>
      <c r="K321" s="6">
        <v>2</v>
      </c>
      <c r="L321" t="s">
        <v>91</v>
      </c>
      <c r="M321" t="s">
        <v>90</v>
      </c>
      <c r="Q321" s="53">
        <f t="shared" si="6"/>
        <v>6.5</v>
      </c>
    </row>
    <row r="322" spans="8:17" x14ac:dyDescent="0.2">
      <c r="H322" s="56" t="s">
        <v>99</v>
      </c>
      <c r="I322" s="56" t="s">
        <v>118</v>
      </c>
      <c r="J322" s="57" t="s">
        <v>29</v>
      </c>
      <c r="K322" s="6">
        <v>3</v>
      </c>
      <c r="L322" t="s">
        <v>90</v>
      </c>
      <c r="M322" t="s">
        <v>91</v>
      </c>
      <c r="Q322" s="53">
        <f t="shared" si="6"/>
        <v>6.5</v>
      </c>
    </row>
    <row r="323" spans="8:17" x14ac:dyDescent="0.2">
      <c r="H323" s="56" t="s">
        <v>99</v>
      </c>
      <c r="I323" s="56" t="s">
        <v>118</v>
      </c>
      <c r="J323" s="57" t="s">
        <v>29</v>
      </c>
      <c r="K323" s="6">
        <v>4</v>
      </c>
      <c r="L323" t="s">
        <v>91</v>
      </c>
      <c r="M323" t="s">
        <v>90</v>
      </c>
      <c r="Q323" s="53">
        <f t="shared" si="6"/>
        <v>6.5</v>
      </c>
    </row>
    <row r="324" spans="8:17" x14ac:dyDescent="0.2">
      <c r="H324" s="45" t="s">
        <v>99</v>
      </c>
      <c r="I324" t="s">
        <v>119</v>
      </c>
      <c r="J324" s="43" t="s">
        <v>29</v>
      </c>
      <c r="K324" s="6">
        <v>5</v>
      </c>
      <c r="L324" t="s">
        <v>90</v>
      </c>
      <c r="M324" t="s">
        <v>91</v>
      </c>
      <c r="Q324" s="53">
        <f t="shared" si="6"/>
        <v>6.5</v>
      </c>
    </row>
    <row r="325" spans="8:17" x14ac:dyDescent="0.2">
      <c r="H325" s="45" t="s">
        <v>99</v>
      </c>
      <c r="I325" t="s">
        <v>119</v>
      </c>
      <c r="J325" s="43" t="s">
        <v>29</v>
      </c>
      <c r="K325" s="6">
        <v>6</v>
      </c>
      <c r="L325" t="s">
        <v>90</v>
      </c>
      <c r="M325" t="s">
        <v>91</v>
      </c>
      <c r="Q325" s="53">
        <f t="shared" si="6"/>
        <v>6.5</v>
      </c>
    </row>
    <row r="326" spans="8:17" x14ac:dyDescent="0.2">
      <c r="H326" s="45" t="s">
        <v>99</v>
      </c>
      <c r="I326" t="s">
        <v>119</v>
      </c>
      <c r="J326" s="43" t="s">
        <v>29</v>
      </c>
      <c r="K326" s="6">
        <v>7</v>
      </c>
      <c r="L326" t="s">
        <v>90</v>
      </c>
      <c r="M326" t="s">
        <v>91</v>
      </c>
      <c r="Q326" s="53">
        <f t="shared" si="6"/>
        <v>6.5</v>
      </c>
    </row>
    <row r="327" spans="8:17" x14ac:dyDescent="0.2">
      <c r="H327" s="45" t="s">
        <v>99</v>
      </c>
      <c r="I327" t="s">
        <v>119</v>
      </c>
      <c r="J327" s="43" t="s">
        <v>29</v>
      </c>
      <c r="K327" s="6">
        <v>8</v>
      </c>
      <c r="L327" t="s">
        <v>91</v>
      </c>
      <c r="M327" t="s">
        <v>90</v>
      </c>
      <c r="Q327" s="53">
        <f t="shared" si="6"/>
        <v>6.5</v>
      </c>
    </row>
    <row r="328" spans="8:17" x14ac:dyDescent="0.2">
      <c r="H328" s="45" t="s">
        <v>99</v>
      </c>
      <c r="I328" t="s">
        <v>119</v>
      </c>
      <c r="J328" s="43" t="s">
        <v>29</v>
      </c>
      <c r="K328" s="6">
        <v>9</v>
      </c>
      <c r="L328" t="s">
        <v>91</v>
      </c>
      <c r="M328" t="s">
        <v>90</v>
      </c>
      <c r="Q328" s="53">
        <f t="shared" si="6"/>
        <v>6.5</v>
      </c>
    </row>
    <row r="329" spans="8:17" x14ac:dyDescent="0.2">
      <c r="H329" s="45" t="s">
        <v>99</v>
      </c>
      <c r="I329" t="s">
        <v>119</v>
      </c>
      <c r="J329" s="43" t="s">
        <v>29</v>
      </c>
      <c r="K329" s="6">
        <v>10</v>
      </c>
      <c r="L329" t="s">
        <v>91</v>
      </c>
      <c r="M329" t="s">
        <v>90</v>
      </c>
      <c r="Q329" s="53">
        <f t="shared" si="6"/>
        <v>6.5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Rosita Fu</dc:creator>
  <cp:lastModifiedBy>Rosita Fu</cp:lastModifiedBy>
  <dcterms:created xsi:type="dcterms:W3CDTF">2026-03-01T23:08:24Z</dcterms:created>
  <dcterms:modified xsi:type="dcterms:W3CDTF">2026-03-02T01:51:53Z</dcterms:modified>
</cp:coreProperties>
</file>