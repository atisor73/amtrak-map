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f50/playground/amtrak-map/data/"/>
    </mc:Choice>
  </mc:AlternateContent>
  <xr:revisionPtr revIDLastSave="0" documentId="13_ncr:1_{C99F5B75-B02D-3F46-BAFF-D0EC4D1F0121}" xr6:coauthVersionLast="47" xr6:coauthVersionMax="47" xr10:uidLastSave="{00000000-0000-0000-0000-000000000000}"/>
  <bookViews>
    <workbookView xWindow="5320" yWindow="1100" windowWidth="23100" windowHeight="16160" xr2:uid="{CCD0A306-F40C-124B-9DE1-B13368F14D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0" i="1" l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109" i="1"/>
  <c r="P110" i="1"/>
  <c r="P111" i="1"/>
  <c r="P112" i="1"/>
  <c r="P113" i="1"/>
  <c r="P114" i="1"/>
  <c r="P115" i="1"/>
  <c r="P116" i="1"/>
  <c r="P117" i="1"/>
  <c r="P204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108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02" i="1"/>
  <c r="P103" i="1"/>
  <c r="P104" i="1"/>
  <c r="P105" i="1"/>
  <c r="P106" i="1"/>
  <c r="P107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76" i="1"/>
  <c r="P77" i="1"/>
  <c r="P78" i="1"/>
  <c r="P79" i="1"/>
  <c r="P6" i="1"/>
  <c r="P7" i="1"/>
  <c r="F3" i="1"/>
  <c r="F4" i="1"/>
  <c r="F5" i="1"/>
  <c r="F6" i="1"/>
  <c r="F7" i="1"/>
  <c r="F8" i="1"/>
  <c r="F9" i="1"/>
  <c r="F10" i="1"/>
  <c r="F12" i="1"/>
  <c r="F13" i="1"/>
  <c r="F14" i="1"/>
  <c r="F15" i="1"/>
  <c r="F16" i="1"/>
  <c r="F18" i="1"/>
  <c r="F19" i="1"/>
  <c r="F20" i="1"/>
  <c r="F21" i="1"/>
  <c r="F22" i="1"/>
  <c r="F23" i="1"/>
  <c r="F25" i="1"/>
  <c r="F26" i="1"/>
  <c r="F27" i="1"/>
  <c r="F28" i="1"/>
  <c r="F29" i="1"/>
  <c r="F31" i="1"/>
  <c r="F32" i="1"/>
  <c r="F33" i="1"/>
  <c r="F34" i="1"/>
  <c r="F35" i="1"/>
  <c r="F36" i="1"/>
  <c r="F37" i="1"/>
  <c r="F38" i="1"/>
  <c r="F39" i="1"/>
  <c r="F40" i="1"/>
  <c r="F41" i="1"/>
  <c r="F2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3" i="1"/>
  <c r="P4" i="1"/>
  <c r="P5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Rosita Fu</author>
  </authors>
  <commentList>
    <comment ref="E1" authorId="0" shapeId="0" xr:uid="{7E0B5246-34C1-BE48-B031-E618803489AD}">
      <text>
        <r>
          <rPr>
            <b/>
            <sz val="10"/>
            <color rgb="FF000000"/>
            <rFont val="Tahoma"/>
            <family val="2"/>
          </rPr>
          <t>Rosita Fu: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(in one direction)</t>
        </r>
      </text>
    </comment>
    <comment ref="K1" authorId="0" shapeId="0" xr:uid="{2C67AAF2-4B98-0D42-8BF0-2CCFC67BFB14}">
      <text>
        <r>
          <rPr>
            <b/>
            <sz val="10"/>
            <color rgb="FF000000"/>
            <rFont val="Tahoma"/>
            <family val="2"/>
          </rPr>
          <t>Rosita Fu: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there are 2n number of trains (bidirectional)
</t>
        </r>
      </text>
    </comment>
    <comment ref="L1" authorId="0" shapeId="0" xr:uid="{547E5D57-8273-ED4B-9DB8-F2F498DCD068}">
      <text>
        <r>
          <rPr>
            <b/>
            <sz val="10"/>
            <color rgb="FF000000"/>
            <rFont val="Tahoma"/>
            <family val="2"/>
          </rPr>
          <t>Rosita Fu: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this is defined relative to svg path, not geo
</t>
        </r>
      </text>
    </comment>
    <comment ref="E11" authorId="0" shapeId="0" xr:uid="{07304A59-99E6-9249-B244-44506ECD74C2}">
      <text>
        <r>
          <rPr>
            <b/>
            <sz val="10"/>
            <color rgb="FF000000"/>
            <rFont val="Tahoma"/>
            <family val="2"/>
          </rPr>
          <t>Rosita Fu: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annoying bc int.l service is limited - trains are mostly going btw Seattle - Portland with 2 going to Vancouver/Eugene
</t>
        </r>
      </text>
    </comment>
    <comment ref="E17" authorId="0" shapeId="0" xr:uid="{95DAA6C4-C961-AF49-9318-30536C3F61EC}">
      <text>
        <r>
          <rPr>
            <b/>
            <sz val="10"/>
            <color rgb="FF000000"/>
            <rFont val="Tahoma"/>
            <family val="2"/>
          </rPr>
          <t>Rosita Fu: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discontinuous!
</t>
        </r>
      </text>
    </comment>
  </commentList>
</comments>
</file>

<file path=xl/sharedStrings.xml><?xml version="1.0" encoding="utf-8"?>
<sst xmlns="http://schemas.openxmlformats.org/spreadsheetml/2006/main" count="926" uniqueCount="114">
  <si>
    <t>route</t>
  </si>
  <si>
    <t>acela</t>
  </si>
  <si>
    <t>adirondack</t>
  </si>
  <si>
    <t>autotrain</t>
  </si>
  <si>
    <t>berkshire_flyer</t>
  </si>
  <si>
    <t>borealis</t>
  </si>
  <si>
    <t>california_zephyr</t>
  </si>
  <si>
    <t>capitol_corridor</t>
  </si>
  <si>
    <t>cardinal</t>
  </si>
  <si>
    <t>carolinian</t>
  </si>
  <si>
    <t>cascades</t>
  </si>
  <si>
    <t>city_of_new_orleans</t>
  </si>
  <si>
    <t>coast_starlight</t>
  </si>
  <si>
    <t>crescent</t>
  </si>
  <si>
    <t>downeaster</t>
  </si>
  <si>
    <t>empire_builder</t>
  </si>
  <si>
    <t>empire_service</t>
  </si>
  <si>
    <t>ethan_allen_express</t>
  </si>
  <si>
    <t>floridian</t>
  </si>
  <si>
    <t>gold_runner</t>
  </si>
  <si>
    <t>hartford</t>
  </si>
  <si>
    <t>heartland_flyer</t>
  </si>
  <si>
    <t>hiawatha</t>
  </si>
  <si>
    <t>illinois_service</t>
  </si>
  <si>
    <t>keystone_service</t>
  </si>
  <si>
    <t>lakeshore_limited</t>
  </si>
  <si>
    <t>lincoln_service</t>
  </si>
  <si>
    <t>maple_leaf</t>
  </si>
  <si>
    <t>mardi_gras</t>
  </si>
  <si>
    <t>michigan_service</t>
  </si>
  <si>
    <t>missouri_river</t>
  </si>
  <si>
    <t>northeast_regional</t>
  </si>
  <si>
    <t>pacific_surfliner</t>
  </si>
  <si>
    <t>pennsylvanian</t>
  </si>
  <si>
    <t>piedmont</t>
  </si>
  <si>
    <t>silver_meteor_palmetto</t>
  </si>
  <si>
    <t>southwest_chief</t>
  </si>
  <si>
    <t>sunset_limited</t>
  </si>
  <si>
    <t>texas_eagle</t>
  </si>
  <si>
    <t>valley_flyer</t>
  </si>
  <si>
    <t>vermonter</t>
  </si>
  <si>
    <t>frequency</t>
  </si>
  <si>
    <t>nx Daily</t>
  </si>
  <si>
    <t>Daily</t>
  </si>
  <si>
    <t>Late June - Early Sept</t>
  </si>
  <si>
    <t>3 days a week</t>
  </si>
  <si>
    <t>2x Daily</t>
  </si>
  <si>
    <t>time</t>
  </si>
  <si>
    <t>time_label</t>
  </si>
  <si>
    <t>7hrs</t>
  </si>
  <si>
    <t>10hrs</t>
  </si>
  <si>
    <t>17hrs 29min</t>
  </si>
  <si>
    <t>4hrs</t>
  </si>
  <si>
    <t>7hrs 24min</t>
  </si>
  <si>
    <t>51hrs 20min</t>
  </si>
  <si>
    <t>3hrs 15min</t>
  </si>
  <si>
    <t>26hrs 30min</t>
  </si>
  <si>
    <t>13hrs 30min</t>
  </si>
  <si>
    <t>10hrs 25min</t>
  </si>
  <si>
    <t>19hrs</t>
  </si>
  <si>
    <t>35hrs</t>
  </si>
  <si>
    <t>30hrs</t>
  </si>
  <si>
    <t>3hrs 25min</t>
  </si>
  <si>
    <t>46hrs</t>
  </si>
  <si>
    <t>7hrs 20min</t>
  </si>
  <si>
    <t>7hrs 34min</t>
  </si>
  <si>
    <t>47hrs</t>
  </si>
  <si>
    <t>6hrs 15min</t>
  </si>
  <si>
    <t>1hr 24min</t>
  </si>
  <si>
    <t>4hrs 14min</t>
  </si>
  <si>
    <t>1hr 29min</t>
  </si>
  <si>
    <t>5hrs 30min</t>
  </si>
  <si>
    <t>3hrs 50min</t>
  </si>
  <si>
    <t>11hrs 45min</t>
  </si>
  <si>
    <t>12hrs 30min</t>
  </si>
  <si>
    <t>3hrs 43min</t>
  </si>
  <si>
    <t>6hrs 30min</t>
  </si>
  <si>
    <t>5hrs 40min</t>
  </si>
  <si>
    <t>9hrs</t>
  </si>
  <si>
    <t>9hrs 20min</t>
  </si>
  <si>
    <t>3hrs 10min</t>
  </si>
  <si>
    <t>&lt;28hrs</t>
  </si>
  <si>
    <t>40+hrs</t>
  </si>
  <si>
    <t>48hrs</t>
  </si>
  <si>
    <t>32hrs 25min</t>
  </si>
  <si>
    <t>2hrs 48min</t>
  </si>
  <si>
    <t>13hrs 45min</t>
  </si>
  <si>
    <t>origin</t>
  </si>
  <si>
    <t>train_id</t>
  </si>
  <si>
    <t>destination</t>
  </si>
  <si>
    <t>start</t>
  </si>
  <si>
    <t>end</t>
  </si>
  <si>
    <t>t_start</t>
  </si>
  <si>
    <t>t_end</t>
  </si>
  <si>
    <t>duration</t>
  </si>
  <si>
    <t>n_trains_daily_total</t>
  </si>
  <si>
    <t>n_trains_daily_direction</t>
  </si>
  <si>
    <t>2 or 10</t>
  </si>
  <si>
    <t>4 or 20</t>
  </si>
  <si>
    <t>branched</t>
  </si>
  <si>
    <t>2,2,4</t>
  </si>
  <si>
    <t>4,4,8</t>
  </si>
  <si>
    <t>2 or 8</t>
  </si>
  <si>
    <t>4 or 16</t>
  </si>
  <si>
    <t>1,1,6</t>
  </si>
  <si>
    <t>2,2,12</t>
  </si>
  <si>
    <t>clip_path</t>
  </si>
  <si>
    <t>&lt;-- for trains that don't go all the way (number btw 0 and 1?)</t>
  </si>
  <si>
    <t>Seattle-Oregon</t>
  </si>
  <si>
    <t>Vancouver-Oregon</t>
  </si>
  <si>
    <t>partial</t>
  </si>
  <si>
    <t>NY-Albany</t>
  </si>
  <si>
    <t>NY-Niagara</t>
  </si>
  <si>
    <t>discontinuity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</si>
</sst>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3BF9C"/>
        <bgColor rgb="FF000000"/>
      </patternFill>
    </fill>
    <fill>
      <patternFill patternType="solid">
        <fgColor rgb="FFF0B893"/>
        <bgColor rgb="FF000000"/>
      </patternFill>
    </fill>
    <fill>
      <patternFill patternType="solid">
        <fgColor rgb="FFE8A77B"/>
        <bgColor rgb="FF000000"/>
      </patternFill>
    </fill>
    <fill>
      <patternFill patternType="solid">
        <fgColor rgb="FFF6C6A5"/>
        <bgColor rgb="FF000000"/>
      </patternFill>
    </fill>
    <fill>
      <patternFill patternType="solid">
        <fgColor rgb="FFF2BE9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7C7A8"/>
        <bgColor rgb="FF000000"/>
      </patternFill>
    </fill>
    <fill>
      <patternFill patternType="solid">
        <fgColor rgb="FFDF925F"/>
        <bgColor rgb="FF000000"/>
      </patternFill>
    </fill>
    <fill>
      <patternFill patternType="solid">
        <fgColor rgb="FFECB088"/>
        <bgColor rgb="FF000000"/>
      </patternFill>
    </fill>
    <fill>
      <patternFill patternType="solid">
        <fgColor rgb="FFEFB791"/>
        <bgColor rgb="FF000000"/>
      </patternFill>
    </fill>
    <fill>
      <patternFill patternType="solid">
        <fgColor rgb="FFE7A377"/>
        <bgColor rgb="FF000000"/>
      </patternFill>
    </fill>
    <fill>
      <patternFill patternType="solid">
        <fgColor rgb="FFD77F45"/>
        <bgColor rgb="FF000000"/>
      </patternFill>
    </fill>
    <fill>
      <patternFill patternType="solid">
        <fgColor rgb="FFDC8A54"/>
        <bgColor rgb="FF000000"/>
      </patternFill>
    </fill>
    <fill>
      <patternFill patternType="solid">
        <fgColor rgb="FFF6C7A7"/>
        <bgColor rgb="FF000000"/>
      </patternFill>
    </fill>
    <fill>
      <patternFill patternType="solid">
        <fgColor rgb="FFCC6622"/>
        <bgColor rgb="FF000000"/>
      </patternFill>
    </fill>
    <fill>
      <patternFill patternType="solid">
        <fgColor rgb="FFF3BE9B"/>
        <bgColor rgb="FF000000"/>
      </patternFill>
    </fill>
    <fill>
      <patternFill patternType="solid">
        <fgColor rgb="FFF2BD9A"/>
        <bgColor rgb="FF000000"/>
      </patternFill>
    </fill>
    <fill>
      <patternFill patternType="solid">
        <fgColor rgb="FFCB631F"/>
        <bgColor rgb="FF000000"/>
      </patternFill>
    </fill>
    <fill>
      <patternFill patternType="solid">
        <fgColor rgb="FFF4C09E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6C5A5"/>
        <bgColor rgb="FF000000"/>
      </patternFill>
    </fill>
    <fill>
      <patternFill patternType="solid">
        <fgColor rgb="FFF4C2A1"/>
        <bgColor rgb="FF000000"/>
      </patternFill>
    </fill>
    <fill>
      <patternFill patternType="solid">
        <fgColor rgb="FFF6C6A6"/>
        <bgColor rgb="FF000000"/>
      </patternFill>
    </fill>
    <fill>
      <patternFill patternType="solid">
        <fgColor rgb="FFEEB48D"/>
        <bgColor rgb="FF000000"/>
      </patternFill>
    </fill>
    <fill>
      <patternFill patternType="solid">
        <fgColor rgb="FFEDB28B"/>
        <bgColor rgb="FF000000"/>
      </patternFill>
    </fill>
    <fill>
      <patternFill patternType="solid">
        <fgColor rgb="FFF3C09E"/>
        <bgColor rgb="FF000000"/>
      </patternFill>
    </fill>
    <fill>
      <patternFill patternType="solid">
        <fgColor rgb="FFF4C2A0"/>
        <bgColor rgb="FF000000"/>
      </patternFill>
    </fill>
    <fill>
      <patternFill patternType="solid">
        <fgColor rgb="FFF1BA96"/>
        <bgColor rgb="FF000000"/>
      </patternFill>
    </fill>
    <fill>
      <patternFill patternType="solid">
        <fgColor rgb="FFF1B995"/>
        <bgColor rgb="FF000000"/>
      </patternFill>
    </fill>
    <fill>
      <patternFill patternType="solid">
        <fgColor rgb="FFDE8F5A"/>
        <bgColor rgb="FF000000"/>
      </patternFill>
    </fill>
    <fill>
      <patternFill patternType="solid">
        <fgColor rgb="FFD27335"/>
        <bgColor rgb="FF000000"/>
      </patternFill>
    </fill>
    <fill>
      <patternFill patternType="solid">
        <fgColor rgb="FFCA611C"/>
        <bgColor rgb="FF000000"/>
      </patternFill>
    </fill>
    <fill>
      <patternFill patternType="solid">
        <fgColor rgb="FFD9854D"/>
        <bgColor rgb="FF000000"/>
      </patternFill>
    </fill>
    <fill>
      <patternFill patternType="solid">
        <fgColor rgb="FFF7C8A9"/>
        <bgColor rgb="FF000000"/>
      </patternFill>
    </fill>
    <fill>
      <patternFill patternType="solid">
        <fgColor rgb="FFECAF87"/>
        <bgColor rgb="FF000000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3" fillId="3" borderId="0" xfId="0" applyFont="1" applyFill="1"/>
    <xf numFmtId="0" fontId="7" fillId="0" borderId="0" xfId="0" applyFont="1"/>
    <xf numFmtId="0" fontId="2" fillId="4" borderId="0" xfId="0" applyFont="1" applyFill="1"/>
    <xf numFmtId="0" fontId="7" fillId="5" borderId="0" xfId="0" applyFont="1" applyFill="1"/>
    <xf numFmtId="0" fontId="7" fillId="6" borderId="0" xfId="0" applyFont="1" applyFill="1"/>
    <xf numFmtId="0" fontId="7" fillId="7" borderId="0" xfId="0" applyFont="1" applyFill="1"/>
    <xf numFmtId="0" fontId="7" fillId="8" borderId="0" xfId="0" applyFont="1" applyFill="1"/>
    <xf numFmtId="0" fontId="7" fillId="9" borderId="0" xfId="0" applyFont="1" applyFill="1"/>
    <xf numFmtId="0" fontId="7" fillId="10" borderId="0" xfId="0" applyFont="1" applyFill="1"/>
    <xf numFmtId="0" fontId="7" fillId="11" borderId="0" xfId="0" applyFont="1" applyFill="1"/>
    <xf numFmtId="0" fontId="7" fillId="12" borderId="0" xfId="0" applyFont="1" applyFill="1"/>
    <xf numFmtId="0" fontId="7" fillId="13" borderId="0" xfId="0" applyFont="1" applyFill="1"/>
    <xf numFmtId="0" fontId="7" fillId="14" borderId="0" xfId="0" applyFont="1" applyFill="1"/>
    <xf numFmtId="0" fontId="7" fillId="15" borderId="0" xfId="0" applyFont="1" applyFill="1"/>
    <xf numFmtId="0" fontId="7" fillId="16" borderId="0" xfId="0" applyFont="1" applyFill="1"/>
    <xf numFmtId="0" fontId="7" fillId="17" borderId="0" xfId="0" applyFont="1" applyFill="1"/>
    <xf numFmtId="0" fontId="7" fillId="18" borderId="0" xfId="0" applyFont="1" applyFill="1"/>
    <xf numFmtId="0" fontId="7" fillId="19" borderId="0" xfId="0" applyFont="1" applyFill="1"/>
    <xf numFmtId="0" fontId="7" fillId="20" borderId="0" xfId="0" applyFont="1" applyFill="1"/>
    <xf numFmtId="0" fontId="7" fillId="21" borderId="0" xfId="0" applyFont="1" applyFill="1"/>
    <xf numFmtId="0" fontId="7" fillId="22" borderId="0" xfId="0" applyFont="1" applyFill="1"/>
    <xf numFmtId="0" fontId="7" fillId="23" borderId="0" xfId="0" applyFont="1" applyFill="1"/>
    <xf numFmtId="0" fontId="7" fillId="24" borderId="0" xfId="0" applyFont="1" applyFill="1"/>
    <xf numFmtId="0" fontId="7" fillId="25" borderId="0" xfId="0" applyFont="1" applyFill="1"/>
    <xf numFmtId="0" fontId="7" fillId="26" borderId="0" xfId="0" applyFont="1" applyFill="1"/>
    <xf numFmtId="0" fontId="7" fillId="27" borderId="0" xfId="0" applyFont="1" applyFill="1"/>
    <xf numFmtId="0" fontId="7" fillId="28" borderId="0" xfId="0" applyFont="1" applyFill="1"/>
    <xf numFmtId="0" fontId="7" fillId="29" borderId="0" xfId="0" applyFont="1" applyFill="1"/>
    <xf numFmtId="0" fontId="7" fillId="30" borderId="0" xfId="0" applyFont="1" applyFill="1"/>
    <xf numFmtId="0" fontId="7" fillId="31" borderId="0" xfId="0" applyFont="1" applyFill="1"/>
    <xf numFmtId="0" fontId="7" fillId="32" borderId="0" xfId="0" applyFont="1" applyFill="1"/>
    <xf numFmtId="0" fontId="7" fillId="33" borderId="0" xfId="0" applyFont="1" applyFill="1"/>
    <xf numFmtId="0" fontId="7" fillId="34" borderId="0" xfId="0" applyFont="1" applyFill="1"/>
    <xf numFmtId="0" fontId="7" fillId="35" borderId="0" xfId="0" applyFont="1" applyFill="1"/>
    <xf numFmtId="0" fontId="7" fillId="36" borderId="0" xfId="0" applyFont="1" applyFill="1"/>
    <xf numFmtId="0" fontId="7" fillId="37" borderId="0" xfId="0" applyFont="1" applyFill="1"/>
    <xf numFmtId="0" fontId="7" fillId="38" borderId="0" xfId="0" applyFont="1" applyFill="1"/>
    <xf numFmtId="0" fontId="7" fillId="39" borderId="0" xfId="0" applyFont="1" applyFill="1"/>
    <xf numFmtId="0" fontId="8" fillId="0" borderId="0" xfId="0" applyFont="1"/>
    <xf numFmtId="0" fontId="0" fillId="40" borderId="0" xfId="0" applyFill="1"/>
    <xf numFmtId="0" fontId="0" fillId="0" borderId="0" xfId="0" applyFill="1"/>
    <xf numFmtId="0" fontId="0" fillId="40" borderId="1" xfId="0" applyFill="1" applyBorder="1"/>
    <xf numFmtId="0" fontId="0" fillId="40" borderId="2" xfId="0" applyFill="1" applyBorder="1"/>
    <xf numFmtId="0" fontId="0" fillId="0" borderId="3" xfId="0" applyBorder="1"/>
    <xf numFmtId="16" fontId="0" fillId="40" borderId="1" xfId="0" applyNumberFormat="1" applyFill="1" applyBorder="1"/>
    <xf numFmtId="0" fontId="8" fillId="0" borderId="4" xfId="0" applyFont="1" applyBorder="1"/>
    <xf numFmtId="0" fontId="7" fillId="0" borderId="4" xfId="0" applyFont="1" applyBorder="1"/>
    <xf numFmtId="0" fontId="0" fillId="0" borderId="4" xfId="0" applyBorder="1"/>
    <xf numFmtId="0" fontId="7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C1AC-4A49-714C-AB6B-E57A5F467BCE}">
  <dimension ref="A1:R318"/>
  <sheetViews>
    <sheetView tabSelected="1" topLeftCell="B299" zoomScale="108" workbookViewId="0">
      <selection activeCell="J318" sqref="J318"/>
    </sheetView>
  </sheetViews>
  <sheetFormatPr baseColWidth="10" defaultRowHeight="16" x14ac:dyDescent="0.2"/>
  <cols>
    <col min="1" max="1" width="20.83203125" customWidth="1"/>
    <col min="2" max="2" width="15.83203125" customWidth="1"/>
    <col min="5" max="5" width="9.1640625" customWidth="1"/>
    <col min="6" max="6" width="10.1640625" customWidth="1"/>
    <col min="7" max="7" width="11.6640625" customWidth="1"/>
    <col min="8" max="8" width="7" customWidth="1"/>
    <col min="9" max="9" width="14.83203125" customWidth="1"/>
    <col min="10" max="10" width="17.1640625" customWidth="1"/>
  </cols>
  <sheetData>
    <row r="1" spans="1:18" x14ac:dyDescent="0.2">
      <c r="A1" s="1" t="s">
        <v>0</v>
      </c>
      <c r="B1" s="3" t="s">
        <v>41</v>
      </c>
      <c r="C1" s="3" t="s">
        <v>47</v>
      </c>
      <c r="D1" s="3" t="s">
        <v>48</v>
      </c>
      <c r="E1" s="3" t="s">
        <v>96</v>
      </c>
      <c r="F1" s="3" t="s">
        <v>95</v>
      </c>
      <c r="G1" s="3" t="s">
        <v>113</v>
      </c>
      <c r="H1" s="3"/>
      <c r="I1" s="3"/>
      <c r="J1" s="3" t="s">
        <v>0</v>
      </c>
      <c r="K1" s="3" t="s">
        <v>88</v>
      </c>
      <c r="L1" s="3" t="s">
        <v>87</v>
      </c>
      <c r="M1" s="3" t="s">
        <v>89</v>
      </c>
      <c r="N1" s="3" t="s">
        <v>92</v>
      </c>
      <c r="O1" s="3" t="s">
        <v>93</v>
      </c>
      <c r="P1" s="3" t="s">
        <v>94</v>
      </c>
      <c r="Q1" s="3" t="s">
        <v>106</v>
      </c>
      <c r="R1" s="3" t="s">
        <v>107</v>
      </c>
    </row>
    <row r="2" spans="1:18" x14ac:dyDescent="0.2">
      <c r="A2" s="2" t="s">
        <v>1</v>
      </c>
      <c r="B2" s="4" t="s">
        <v>42</v>
      </c>
      <c r="C2" s="8">
        <v>7</v>
      </c>
      <c r="D2" s="6" t="s">
        <v>49</v>
      </c>
      <c r="E2" s="44">
        <v>15</v>
      </c>
      <c r="F2" s="44">
        <f>E2*2</f>
        <v>30</v>
      </c>
      <c r="J2" s="43" t="s">
        <v>2</v>
      </c>
      <c r="K2" s="6">
        <v>1</v>
      </c>
      <c r="L2" s="6" t="s">
        <v>90</v>
      </c>
      <c r="M2" s="6" t="s">
        <v>91</v>
      </c>
      <c r="N2" s="6"/>
      <c r="O2" s="6"/>
      <c r="P2">
        <f>_xlfn.XLOOKUP(J2, A:A, C:C)</f>
        <v>10</v>
      </c>
    </row>
    <row r="3" spans="1:18" x14ac:dyDescent="0.2">
      <c r="A3" s="2" t="s">
        <v>2</v>
      </c>
      <c r="B3" s="5" t="s">
        <v>43</v>
      </c>
      <c r="C3" s="9">
        <v>10</v>
      </c>
      <c r="D3" s="6" t="s">
        <v>50</v>
      </c>
      <c r="E3">
        <v>1</v>
      </c>
      <c r="F3">
        <f t="shared" ref="F3:F41" si="0">E3*2</f>
        <v>2</v>
      </c>
      <c r="J3" s="43" t="s">
        <v>2</v>
      </c>
      <c r="K3" s="6">
        <v>2</v>
      </c>
      <c r="L3" s="6" t="s">
        <v>91</v>
      </c>
      <c r="M3" s="6" t="s">
        <v>90</v>
      </c>
      <c r="N3" s="6"/>
      <c r="O3" s="6"/>
      <c r="P3">
        <f>_xlfn.XLOOKUP(J3, A:A, C:C)</f>
        <v>10</v>
      </c>
    </row>
    <row r="4" spans="1:18" x14ac:dyDescent="0.2">
      <c r="A4" s="2" t="s">
        <v>3</v>
      </c>
      <c r="B4" s="5" t="s">
        <v>43</v>
      </c>
      <c r="C4" s="10">
        <v>17.483000000000001</v>
      </c>
      <c r="D4" s="6" t="s">
        <v>51</v>
      </c>
      <c r="E4">
        <v>1</v>
      </c>
      <c r="F4">
        <f t="shared" si="0"/>
        <v>2</v>
      </c>
      <c r="J4" s="43" t="s">
        <v>3</v>
      </c>
      <c r="K4" s="6">
        <v>1</v>
      </c>
      <c r="L4" s="6" t="s">
        <v>90</v>
      </c>
      <c r="M4" s="6" t="s">
        <v>91</v>
      </c>
      <c r="N4" s="6"/>
      <c r="O4" s="6"/>
      <c r="P4">
        <f>_xlfn.XLOOKUP(J4, A:A, C:C)</f>
        <v>17.483000000000001</v>
      </c>
    </row>
    <row r="5" spans="1:18" x14ac:dyDescent="0.2">
      <c r="A5" s="2" t="s">
        <v>4</v>
      </c>
      <c r="B5" s="6" t="s">
        <v>44</v>
      </c>
      <c r="C5" s="11">
        <v>4</v>
      </c>
      <c r="D5" s="6" t="s">
        <v>52</v>
      </c>
      <c r="E5" s="45">
        <v>1</v>
      </c>
      <c r="F5">
        <f t="shared" si="0"/>
        <v>2</v>
      </c>
      <c r="J5" s="43" t="s">
        <v>3</v>
      </c>
      <c r="K5" s="6">
        <v>2</v>
      </c>
      <c r="L5" s="6" t="s">
        <v>91</v>
      </c>
      <c r="M5" s="6" t="s">
        <v>90</v>
      </c>
      <c r="N5" s="6"/>
      <c r="O5" s="6"/>
      <c r="P5">
        <f>_xlfn.XLOOKUP(J5, A:A, C:C)</f>
        <v>17.483000000000001</v>
      </c>
    </row>
    <row r="6" spans="1:18" x14ac:dyDescent="0.2">
      <c r="A6" s="2" t="s">
        <v>5</v>
      </c>
      <c r="B6" s="5" t="s">
        <v>43</v>
      </c>
      <c r="C6" s="12">
        <v>7.4</v>
      </c>
      <c r="D6" s="6" t="s">
        <v>53</v>
      </c>
      <c r="E6">
        <v>1</v>
      </c>
      <c r="F6">
        <f t="shared" si="0"/>
        <v>2</v>
      </c>
      <c r="J6" s="43" t="s">
        <v>4</v>
      </c>
      <c r="K6" s="6">
        <v>1</v>
      </c>
      <c r="L6" s="6" t="s">
        <v>90</v>
      </c>
      <c r="M6" s="6" t="s">
        <v>91</v>
      </c>
      <c r="N6" s="6"/>
      <c r="O6" s="6"/>
      <c r="P6">
        <f>_xlfn.XLOOKUP(J6, A:A, C:C)</f>
        <v>4</v>
      </c>
    </row>
    <row r="7" spans="1:18" x14ac:dyDescent="0.2">
      <c r="A7" s="2" t="s">
        <v>6</v>
      </c>
      <c r="B7" s="5" t="s">
        <v>43</v>
      </c>
      <c r="C7" s="13">
        <v>51.332999999999998</v>
      </c>
      <c r="D7" s="6" t="s">
        <v>54</v>
      </c>
      <c r="E7">
        <v>1</v>
      </c>
      <c r="F7">
        <f t="shared" si="0"/>
        <v>2</v>
      </c>
      <c r="J7" s="43" t="s">
        <v>4</v>
      </c>
      <c r="K7" s="6">
        <v>2</v>
      </c>
      <c r="L7" s="6" t="s">
        <v>91</v>
      </c>
      <c r="M7" s="6" t="s">
        <v>90</v>
      </c>
      <c r="N7" s="6"/>
      <c r="O7" s="6"/>
      <c r="P7">
        <f>_xlfn.XLOOKUP(J7, A:A, C:C)</f>
        <v>4</v>
      </c>
    </row>
    <row r="8" spans="1:18" x14ac:dyDescent="0.2">
      <c r="A8" s="2" t="s">
        <v>7</v>
      </c>
      <c r="B8" s="4" t="s">
        <v>42</v>
      </c>
      <c r="C8" s="14">
        <v>3.25</v>
      </c>
      <c r="D8" s="6" t="s">
        <v>55</v>
      </c>
      <c r="E8" s="44">
        <v>15</v>
      </c>
      <c r="F8" s="44">
        <f t="shared" si="0"/>
        <v>30</v>
      </c>
      <c r="J8" s="43" t="s">
        <v>5</v>
      </c>
      <c r="K8" s="6">
        <v>1</v>
      </c>
      <c r="L8" s="6" t="s">
        <v>90</v>
      </c>
      <c r="M8" s="6" t="s">
        <v>91</v>
      </c>
      <c r="N8" s="6"/>
      <c r="O8" s="6"/>
      <c r="P8">
        <f>_xlfn.XLOOKUP(J8, A:A, C:C)</f>
        <v>7.4</v>
      </c>
    </row>
    <row r="9" spans="1:18" x14ac:dyDescent="0.2">
      <c r="A9" s="2" t="s">
        <v>8</v>
      </c>
      <c r="B9" s="7" t="s">
        <v>45</v>
      </c>
      <c r="C9" s="15">
        <v>26.5</v>
      </c>
      <c r="D9" s="6" t="s">
        <v>56</v>
      </c>
      <c r="E9">
        <v>1</v>
      </c>
      <c r="F9">
        <f t="shared" si="0"/>
        <v>2</v>
      </c>
      <c r="J9" s="43" t="s">
        <v>5</v>
      </c>
      <c r="K9" s="6">
        <v>2</v>
      </c>
      <c r="L9" s="6" t="s">
        <v>91</v>
      </c>
      <c r="M9" s="6" t="s">
        <v>90</v>
      </c>
      <c r="N9" s="6"/>
      <c r="O9" s="6"/>
      <c r="P9">
        <f>_xlfn.XLOOKUP(J9, A:A, C:C)</f>
        <v>7.4</v>
      </c>
    </row>
    <row r="10" spans="1:18" x14ac:dyDescent="0.2">
      <c r="A10" s="2" t="s">
        <v>9</v>
      </c>
      <c r="B10" s="5" t="s">
        <v>43</v>
      </c>
      <c r="C10" s="16">
        <v>13.5</v>
      </c>
      <c r="D10" s="6" t="s">
        <v>57</v>
      </c>
      <c r="E10">
        <v>1</v>
      </c>
      <c r="F10">
        <f t="shared" si="0"/>
        <v>2</v>
      </c>
      <c r="J10" s="43" t="s">
        <v>6</v>
      </c>
      <c r="K10" s="6">
        <v>1</v>
      </c>
      <c r="L10" s="6" t="s">
        <v>90</v>
      </c>
      <c r="M10" s="6" t="s">
        <v>91</v>
      </c>
      <c r="N10" s="6"/>
      <c r="O10" s="6"/>
      <c r="P10">
        <f>_xlfn.XLOOKUP(J10, A:A, C:C)</f>
        <v>51.332999999999998</v>
      </c>
    </row>
    <row r="11" spans="1:18" x14ac:dyDescent="0.2">
      <c r="A11" s="2" t="s">
        <v>10</v>
      </c>
      <c r="B11" s="4" t="s">
        <v>42</v>
      </c>
      <c r="C11" s="17">
        <v>10.417</v>
      </c>
      <c r="D11" s="6" t="s">
        <v>58</v>
      </c>
      <c r="E11" s="46" t="s">
        <v>102</v>
      </c>
      <c r="F11" s="47" t="s">
        <v>103</v>
      </c>
      <c r="G11" s="48" t="s">
        <v>110</v>
      </c>
      <c r="J11" s="43" t="s">
        <v>6</v>
      </c>
      <c r="K11" s="6">
        <v>2</v>
      </c>
      <c r="L11" s="6" t="s">
        <v>91</v>
      </c>
      <c r="M11" s="6" t="s">
        <v>90</v>
      </c>
      <c r="N11" s="6"/>
      <c r="O11" s="6"/>
      <c r="P11">
        <f>_xlfn.XLOOKUP(J11, A:A, C:C)</f>
        <v>51.332999999999998</v>
      </c>
    </row>
    <row r="12" spans="1:18" x14ac:dyDescent="0.2">
      <c r="A12" s="2" t="s">
        <v>11</v>
      </c>
      <c r="B12" s="5" t="s">
        <v>43</v>
      </c>
      <c r="C12" s="18">
        <v>19</v>
      </c>
      <c r="D12" s="6" t="s">
        <v>59</v>
      </c>
      <c r="E12">
        <v>1</v>
      </c>
      <c r="F12">
        <f t="shared" si="0"/>
        <v>2</v>
      </c>
      <c r="J12" s="43" t="s">
        <v>8</v>
      </c>
      <c r="K12" s="6">
        <v>1</v>
      </c>
      <c r="L12" s="6" t="s">
        <v>90</v>
      </c>
      <c r="M12" s="6" t="s">
        <v>91</v>
      </c>
      <c r="N12" s="6"/>
      <c r="O12" s="6"/>
      <c r="P12">
        <f>_xlfn.XLOOKUP(J12, A:A, C:C)</f>
        <v>26.5</v>
      </c>
    </row>
    <row r="13" spans="1:18" x14ac:dyDescent="0.2">
      <c r="A13" s="2" t="s">
        <v>12</v>
      </c>
      <c r="B13" s="5" t="s">
        <v>43</v>
      </c>
      <c r="C13" s="19">
        <v>35</v>
      </c>
      <c r="D13" s="6" t="s">
        <v>60</v>
      </c>
      <c r="E13">
        <v>1</v>
      </c>
      <c r="F13">
        <f t="shared" si="0"/>
        <v>2</v>
      </c>
      <c r="J13" s="43" t="s">
        <v>8</v>
      </c>
      <c r="K13" s="6">
        <v>2</v>
      </c>
      <c r="L13" s="6" t="s">
        <v>91</v>
      </c>
      <c r="M13" s="6" t="s">
        <v>90</v>
      </c>
      <c r="N13" s="6"/>
      <c r="O13" s="6"/>
      <c r="P13">
        <f>_xlfn.XLOOKUP(J13, A:A, C:C)</f>
        <v>26.5</v>
      </c>
    </row>
    <row r="14" spans="1:18" x14ac:dyDescent="0.2">
      <c r="A14" s="2" t="s">
        <v>13</v>
      </c>
      <c r="B14" s="5" t="s">
        <v>43</v>
      </c>
      <c r="C14" s="20">
        <v>30</v>
      </c>
      <c r="D14" s="6" t="s">
        <v>61</v>
      </c>
      <c r="E14">
        <v>1</v>
      </c>
      <c r="F14">
        <f t="shared" si="0"/>
        <v>2</v>
      </c>
      <c r="J14" s="43" t="s">
        <v>9</v>
      </c>
      <c r="K14" s="6">
        <v>1</v>
      </c>
      <c r="L14" s="6" t="s">
        <v>90</v>
      </c>
      <c r="M14" s="6" t="s">
        <v>91</v>
      </c>
      <c r="N14" s="6"/>
      <c r="O14" s="6"/>
      <c r="P14">
        <f>_xlfn.XLOOKUP(J14, A:A, C:C)</f>
        <v>13.5</v>
      </c>
    </row>
    <row r="15" spans="1:18" x14ac:dyDescent="0.2">
      <c r="A15" s="2" t="s">
        <v>14</v>
      </c>
      <c r="B15" s="4" t="s">
        <v>42</v>
      </c>
      <c r="C15" s="21">
        <v>3.4167000000000001</v>
      </c>
      <c r="D15" s="6" t="s">
        <v>62</v>
      </c>
      <c r="E15" s="44">
        <v>5</v>
      </c>
      <c r="F15" s="44">
        <f t="shared" si="0"/>
        <v>10</v>
      </c>
      <c r="J15" s="43" t="s">
        <v>9</v>
      </c>
      <c r="K15" s="6">
        <v>2</v>
      </c>
      <c r="L15" s="6" t="s">
        <v>91</v>
      </c>
      <c r="M15" s="6" t="s">
        <v>90</v>
      </c>
      <c r="N15" s="6"/>
      <c r="O15" s="6"/>
      <c r="P15">
        <f>_xlfn.XLOOKUP(J15, A:A, C:C)</f>
        <v>13.5</v>
      </c>
    </row>
    <row r="16" spans="1:18" x14ac:dyDescent="0.2">
      <c r="A16" s="2" t="s">
        <v>15</v>
      </c>
      <c r="B16" s="5" t="s">
        <v>43</v>
      </c>
      <c r="C16" s="22">
        <v>46</v>
      </c>
      <c r="D16" s="6" t="s">
        <v>63</v>
      </c>
      <c r="E16">
        <v>1</v>
      </c>
      <c r="F16">
        <f t="shared" si="0"/>
        <v>2</v>
      </c>
      <c r="J16" s="43" t="s">
        <v>10</v>
      </c>
      <c r="K16" s="6">
        <v>1</v>
      </c>
      <c r="L16" s="6" t="s">
        <v>90</v>
      </c>
      <c r="M16" s="6" t="s">
        <v>91</v>
      </c>
      <c r="N16" s="6"/>
      <c r="O16" s="6"/>
      <c r="P16">
        <f>_xlfn.XLOOKUP(J16, A:A, C:C)</f>
        <v>10.417</v>
      </c>
    </row>
    <row r="17" spans="1:16" x14ac:dyDescent="0.2">
      <c r="A17" s="2" t="s">
        <v>16</v>
      </c>
      <c r="B17" s="4" t="s">
        <v>42</v>
      </c>
      <c r="C17" s="23">
        <v>7.3333000000000004</v>
      </c>
      <c r="D17" s="6" t="s">
        <v>64</v>
      </c>
      <c r="E17" s="49" t="s">
        <v>97</v>
      </c>
      <c r="F17" s="47" t="s">
        <v>98</v>
      </c>
      <c r="G17" s="48" t="s">
        <v>110</v>
      </c>
      <c r="J17" s="43" t="s">
        <v>10</v>
      </c>
      <c r="K17" s="6">
        <v>2</v>
      </c>
      <c r="L17" s="6" t="s">
        <v>91</v>
      </c>
      <c r="M17" s="6" t="s">
        <v>90</v>
      </c>
      <c r="N17" s="6"/>
      <c r="O17" s="6"/>
      <c r="P17">
        <f>_xlfn.XLOOKUP(J17, A:A, C:C)</f>
        <v>10.417</v>
      </c>
    </row>
    <row r="18" spans="1:16" x14ac:dyDescent="0.2">
      <c r="A18" s="2" t="s">
        <v>17</v>
      </c>
      <c r="B18" s="5" t="s">
        <v>43</v>
      </c>
      <c r="C18" s="24">
        <v>7.5667</v>
      </c>
      <c r="D18" s="6" t="s">
        <v>65</v>
      </c>
      <c r="E18">
        <v>1</v>
      </c>
      <c r="F18">
        <f t="shared" si="0"/>
        <v>2</v>
      </c>
      <c r="J18" s="43" t="s">
        <v>11</v>
      </c>
      <c r="K18" s="6">
        <v>1</v>
      </c>
      <c r="L18" s="6" t="s">
        <v>90</v>
      </c>
      <c r="M18" s="6" t="s">
        <v>91</v>
      </c>
      <c r="N18" s="6"/>
      <c r="O18" s="6"/>
      <c r="P18">
        <f>_xlfn.XLOOKUP(J18, A:A, C:C)</f>
        <v>19</v>
      </c>
    </row>
    <row r="19" spans="1:16" x14ac:dyDescent="0.2">
      <c r="A19" s="2" t="s">
        <v>18</v>
      </c>
      <c r="B19" s="5" t="s">
        <v>43</v>
      </c>
      <c r="C19" s="25">
        <v>47</v>
      </c>
      <c r="D19" s="6" t="s">
        <v>66</v>
      </c>
      <c r="E19">
        <v>1</v>
      </c>
      <c r="F19">
        <f t="shared" si="0"/>
        <v>2</v>
      </c>
      <c r="J19" s="43" t="s">
        <v>11</v>
      </c>
      <c r="K19" s="6">
        <v>2</v>
      </c>
      <c r="L19" s="6" t="s">
        <v>91</v>
      </c>
      <c r="M19" s="6" t="s">
        <v>90</v>
      </c>
      <c r="N19" s="6"/>
      <c r="O19" s="6"/>
      <c r="P19">
        <f>_xlfn.XLOOKUP(J19, A:A, C:C)</f>
        <v>19</v>
      </c>
    </row>
    <row r="20" spans="1:16" x14ac:dyDescent="0.2">
      <c r="A20" s="2" t="s">
        <v>19</v>
      </c>
      <c r="B20" s="4" t="s">
        <v>42</v>
      </c>
      <c r="C20" s="26">
        <v>6.25</v>
      </c>
      <c r="D20" s="6" t="s">
        <v>67</v>
      </c>
      <c r="E20" s="44">
        <v>6</v>
      </c>
      <c r="F20" s="44">
        <f t="shared" si="0"/>
        <v>12</v>
      </c>
      <c r="J20" s="43" t="s">
        <v>12</v>
      </c>
      <c r="K20" s="6">
        <v>1</v>
      </c>
      <c r="L20" s="6" t="s">
        <v>90</v>
      </c>
      <c r="M20" s="6" t="s">
        <v>91</v>
      </c>
      <c r="N20" s="6"/>
      <c r="O20" s="6"/>
      <c r="P20">
        <f>_xlfn.XLOOKUP(J20, A:A, C:C)</f>
        <v>35</v>
      </c>
    </row>
    <row r="21" spans="1:16" x14ac:dyDescent="0.2">
      <c r="A21" s="2" t="s">
        <v>20</v>
      </c>
      <c r="B21" s="4" t="s">
        <v>42</v>
      </c>
      <c r="C21" s="27">
        <v>1.4</v>
      </c>
      <c r="D21" s="6" t="s">
        <v>68</v>
      </c>
      <c r="E21" s="44">
        <v>7</v>
      </c>
      <c r="F21" s="44">
        <f t="shared" si="0"/>
        <v>14</v>
      </c>
      <c r="J21" s="43" t="s">
        <v>12</v>
      </c>
      <c r="K21" s="6">
        <v>2</v>
      </c>
      <c r="L21" s="6" t="s">
        <v>91</v>
      </c>
      <c r="M21" s="6" t="s">
        <v>90</v>
      </c>
      <c r="N21" s="6"/>
      <c r="O21" s="6"/>
      <c r="P21">
        <f>_xlfn.XLOOKUP(J21, A:A, C:C)</f>
        <v>35</v>
      </c>
    </row>
    <row r="22" spans="1:16" x14ac:dyDescent="0.2">
      <c r="A22" s="2" t="s">
        <v>21</v>
      </c>
      <c r="B22" s="5" t="s">
        <v>43</v>
      </c>
      <c r="C22" s="28">
        <v>4.2332999999999998</v>
      </c>
      <c r="D22" s="6" t="s">
        <v>69</v>
      </c>
      <c r="E22">
        <v>1</v>
      </c>
      <c r="F22">
        <f t="shared" si="0"/>
        <v>2</v>
      </c>
      <c r="J22" s="43" t="s">
        <v>13</v>
      </c>
      <c r="K22" s="6">
        <v>1</v>
      </c>
      <c r="L22" s="6" t="s">
        <v>90</v>
      </c>
      <c r="M22" s="6" t="s">
        <v>91</v>
      </c>
      <c r="N22" s="6"/>
      <c r="O22" s="6"/>
      <c r="P22">
        <f>_xlfn.XLOOKUP(J22, A:A, C:C)</f>
        <v>30</v>
      </c>
    </row>
    <row r="23" spans="1:16" x14ac:dyDescent="0.2">
      <c r="A23" s="2" t="s">
        <v>22</v>
      </c>
      <c r="B23" s="4" t="s">
        <v>42</v>
      </c>
      <c r="C23" s="27">
        <v>1.4833000000000001</v>
      </c>
      <c r="D23" s="6" t="s">
        <v>70</v>
      </c>
      <c r="E23" s="44">
        <v>7</v>
      </c>
      <c r="F23" s="44">
        <f t="shared" si="0"/>
        <v>14</v>
      </c>
      <c r="J23" s="43" t="s">
        <v>13</v>
      </c>
      <c r="K23" s="6">
        <v>2</v>
      </c>
      <c r="L23" s="6" t="s">
        <v>91</v>
      </c>
      <c r="M23" s="6" t="s">
        <v>90</v>
      </c>
      <c r="N23" s="6"/>
      <c r="O23" s="6"/>
      <c r="P23">
        <f>_xlfn.XLOOKUP(J23, A:A, C:C)</f>
        <v>30</v>
      </c>
    </row>
    <row r="24" spans="1:16" x14ac:dyDescent="0.2">
      <c r="A24" s="2" t="s">
        <v>23</v>
      </c>
      <c r="B24" s="4" t="s">
        <v>42</v>
      </c>
      <c r="C24" s="29">
        <v>5.5</v>
      </c>
      <c r="D24" s="6" t="s">
        <v>71</v>
      </c>
      <c r="E24" s="46" t="s">
        <v>100</v>
      </c>
      <c r="F24" s="47" t="s">
        <v>101</v>
      </c>
      <c r="G24" s="48" t="s">
        <v>99</v>
      </c>
      <c r="J24" s="43" t="s">
        <v>14</v>
      </c>
      <c r="K24" s="6">
        <v>1</v>
      </c>
      <c r="L24" s="6" t="s">
        <v>90</v>
      </c>
      <c r="M24" s="6" t="s">
        <v>91</v>
      </c>
      <c r="N24" s="6"/>
      <c r="O24" s="6"/>
      <c r="P24">
        <f>_xlfn.XLOOKUP(J24, A:A, C:C)</f>
        <v>3.4167000000000001</v>
      </c>
    </row>
    <row r="25" spans="1:16" x14ac:dyDescent="0.2">
      <c r="A25" s="2" t="s">
        <v>24</v>
      </c>
      <c r="B25" s="4" t="s">
        <v>42</v>
      </c>
      <c r="C25" s="30">
        <v>3.8332999999999999</v>
      </c>
      <c r="D25" s="6" t="s">
        <v>72</v>
      </c>
      <c r="E25" s="44">
        <v>13</v>
      </c>
      <c r="F25" s="44">
        <f t="shared" si="0"/>
        <v>26</v>
      </c>
      <c r="J25" s="43" t="s">
        <v>14</v>
      </c>
      <c r="K25" s="6">
        <v>2</v>
      </c>
      <c r="L25" s="6" t="s">
        <v>91</v>
      </c>
      <c r="M25" s="6" t="s">
        <v>90</v>
      </c>
      <c r="N25" s="6"/>
      <c r="O25" s="6"/>
      <c r="P25">
        <f>_xlfn.XLOOKUP(J25, A:A, C:C)</f>
        <v>3.4167000000000001</v>
      </c>
    </row>
    <row r="26" spans="1:16" x14ac:dyDescent="0.2">
      <c r="A26" s="2" t="s">
        <v>25</v>
      </c>
      <c r="B26" s="5" t="s">
        <v>43</v>
      </c>
      <c r="C26" s="18">
        <v>19</v>
      </c>
      <c r="D26" s="6" t="s">
        <v>59</v>
      </c>
      <c r="E26">
        <v>1</v>
      </c>
      <c r="F26">
        <f t="shared" si="0"/>
        <v>2</v>
      </c>
      <c r="J26" s="43" t="s">
        <v>15</v>
      </c>
      <c r="K26" s="6">
        <v>1</v>
      </c>
      <c r="L26" s="6" t="s">
        <v>90</v>
      </c>
      <c r="M26" s="6" t="s">
        <v>91</v>
      </c>
      <c r="N26" s="6"/>
      <c r="O26" s="6"/>
      <c r="P26">
        <f>_xlfn.XLOOKUP(J26, A:A, C:C)</f>
        <v>46</v>
      </c>
    </row>
    <row r="27" spans="1:16" x14ac:dyDescent="0.2">
      <c r="A27" s="2" t="s">
        <v>26</v>
      </c>
      <c r="B27" s="5" t="s">
        <v>43</v>
      </c>
      <c r="C27" s="31">
        <v>11.75</v>
      </c>
      <c r="D27" s="6" t="s">
        <v>73</v>
      </c>
      <c r="E27">
        <v>1</v>
      </c>
      <c r="F27">
        <f t="shared" si="0"/>
        <v>2</v>
      </c>
      <c r="J27" s="43" t="s">
        <v>15</v>
      </c>
      <c r="K27" s="6">
        <v>2</v>
      </c>
      <c r="L27" s="6" t="s">
        <v>91</v>
      </c>
      <c r="M27" s="6" t="s">
        <v>90</v>
      </c>
      <c r="N27" s="6"/>
      <c r="O27" s="6"/>
      <c r="P27">
        <f>_xlfn.XLOOKUP(J27, A:A, C:C)</f>
        <v>46</v>
      </c>
    </row>
    <row r="28" spans="1:16" x14ac:dyDescent="0.2">
      <c r="A28" s="2" t="s">
        <v>27</v>
      </c>
      <c r="B28" s="5" t="s">
        <v>43</v>
      </c>
      <c r="C28" s="32">
        <v>12.5</v>
      </c>
      <c r="D28" s="6" t="s">
        <v>74</v>
      </c>
      <c r="E28">
        <v>1</v>
      </c>
      <c r="F28">
        <f t="shared" si="0"/>
        <v>2</v>
      </c>
      <c r="J28" s="43" t="s">
        <v>16</v>
      </c>
      <c r="K28" s="6">
        <v>1</v>
      </c>
      <c r="L28" s="6" t="s">
        <v>90</v>
      </c>
      <c r="M28" s="6" t="s">
        <v>91</v>
      </c>
      <c r="N28" s="6"/>
      <c r="O28" s="6"/>
      <c r="P28">
        <f>_xlfn.XLOOKUP(J28, A:A, C:C)</f>
        <v>7.3333000000000004</v>
      </c>
    </row>
    <row r="29" spans="1:16" x14ac:dyDescent="0.2">
      <c r="A29" s="2" t="s">
        <v>28</v>
      </c>
      <c r="B29" s="4" t="s">
        <v>46</v>
      </c>
      <c r="C29" s="30">
        <v>3.7166999999999999</v>
      </c>
      <c r="D29" s="6" t="s">
        <v>75</v>
      </c>
      <c r="E29">
        <v>2</v>
      </c>
      <c r="F29">
        <f t="shared" si="0"/>
        <v>4</v>
      </c>
      <c r="J29" s="43" t="s">
        <v>16</v>
      </c>
      <c r="K29" s="6">
        <v>2</v>
      </c>
      <c r="L29" s="6" t="s">
        <v>91</v>
      </c>
      <c r="M29" s="6" t="s">
        <v>90</v>
      </c>
      <c r="N29" s="6"/>
      <c r="O29" s="6"/>
      <c r="P29">
        <f>_xlfn.XLOOKUP(J29, A:A, C:C)</f>
        <v>7.3333000000000004</v>
      </c>
    </row>
    <row r="30" spans="1:16" x14ac:dyDescent="0.2">
      <c r="A30" s="2" t="s">
        <v>29</v>
      </c>
      <c r="B30" s="4" t="s">
        <v>42</v>
      </c>
      <c r="C30" s="33">
        <v>6.5</v>
      </c>
      <c r="D30" s="6" t="s">
        <v>76</v>
      </c>
      <c r="E30" s="46" t="s">
        <v>104</v>
      </c>
      <c r="F30" s="47" t="s">
        <v>105</v>
      </c>
      <c r="G30" s="48" t="s">
        <v>99</v>
      </c>
      <c r="J30" s="43" t="s">
        <v>17</v>
      </c>
      <c r="K30" s="6">
        <v>1</v>
      </c>
      <c r="L30" s="6" t="s">
        <v>90</v>
      </c>
      <c r="M30" s="6" t="s">
        <v>91</v>
      </c>
      <c r="N30" s="6"/>
      <c r="O30" s="6"/>
      <c r="P30">
        <f>_xlfn.XLOOKUP(J30, A:A, C:C)</f>
        <v>7.5667</v>
      </c>
    </row>
    <row r="31" spans="1:16" x14ac:dyDescent="0.2">
      <c r="A31" s="2" t="s">
        <v>30</v>
      </c>
      <c r="B31" s="5" t="s">
        <v>43</v>
      </c>
      <c r="C31" s="34">
        <v>5.6666999999999996</v>
      </c>
      <c r="D31" s="6" t="s">
        <v>77</v>
      </c>
      <c r="E31">
        <v>1</v>
      </c>
      <c r="F31">
        <f t="shared" si="0"/>
        <v>2</v>
      </c>
      <c r="J31" s="43" t="s">
        <v>17</v>
      </c>
      <c r="K31" s="6">
        <v>2</v>
      </c>
      <c r="L31" s="6" t="s">
        <v>91</v>
      </c>
      <c r="M31" s="6" t="s">
        <v>90</v>
      </c>
      <c r="N31" s="6"/>
      <c r="O31" s="6"/>
      <c r="P31">
        <f>_xlfn.XLOOKUP(J31, A:A, C:C)</f>
        <v>7.5667</v>
      </c>
    </row>
    <row r="32" spans="1:16" x14ac:dyDescent="0.2">
      <c r="A32" s="2" t="s">
        <v>31</v>
      </c>
      <c r="B32" s="4" t="s">
        <v>42</v>
      </c>
      <c r="C32" s="32">
        <v>12.5</v>
      </c>
      <c r="D32" s="6" t="s">
        <v>74</v>
      </c>
      <c r="E32" s="44">
        <v>20</v>
      </c>
      <c r="F32" s="44">
        <f t="shared" si="0"/>
        <v>40</v>
      </c>
      <c r="J32" s="43" t="s">
        <v>18</v>
      </c>
      <c r="K32" s="6">
        <v>1</v>
      </c>
      <c r="L32" s="6" t="s">
        <v>90</v>
      </c>
      <c r="M32" s="6" t="s">
        <v>91</v>
      </c>
      <c r="N32" s="6"/>
      <c r="O32" s="6"/>
      <c r="P32">
        <f>_xlfn.XLOOKUP(J32, A:A, C:C)</f>
        <v>47</v>
      </c>
    </row>
    <row r="33" spans="1:16" x14ac:dyDescent="0.2">
      <c r="A33" s="2" t="s">
        <v>32</v>
      </c>
      <c r="B33" s="4" t="s">
        <v>42</v>
      </c>
      <c r="C33" s="35">
        <v>9</v>
      </c>
      <c r="D33" s="6" t="s">
        <v>78</v>
      </c>
      <c r="E33" s="44">
        <v>14</v>
      </c>
      <c r="F33" s="44">
        <f t="shared" si="0"/>
        <v>28</v>
      </c>
      <c r="J33" s="43" t="s">
        <v>18</v>
      </c>
      <c r="K33" s="6">
        <v>2</v>
      </c>
      <c r="L33" s="6" t="s">
        <v>91</v>
      </c>
      <c r="M33" s="6" t="s">
        <v>90</v>
      </c>
      <c r="N33" s="6"/>
      <c r="O33" s="6"/>
      <c r="P33">
        <f>_xlfn.XLOOKUP(J33, A:A, C:C)</f>
        <v>47</v>
      </c>
    </row>
    <row r="34" spans="1:16" x14ac:dyDescent="0.2">
      <c r="A34" s="2" t="s">
        <v>33</v>
      </c>
      <c r="B34" s="5" t="s">
        <v>43</v>
      </c>
      <c r="C34" s="36">
        <v>9.3332999999999995</v>
      </c>
      <c r="D34" s="6" t="s">
        <v>79</v>
      </c>
      <c r="E34">
        <v>1</v>
      </c>
      <c r="F34">
        <f t="shared" si="0"/>
        <v>2</v>
      </c>
      <c r="J34" s="43" t="s">
        <v>19</v>
      </c>
      <c r="K34" s="6">
        <v>1</v>
      </c>
      <c r="L34" s="6" t="s">
        <v>90</v>
      </c>
      <c r="M34" s="6" t="s">
        <v>91</v>
      </c>
      <c r="N34" s="6"/>
      <c r="O34" s="6"/>
      <c r="P34">
        <f>_xlfn.XLOOKUP(J34, A:A, C:C)</f>
        <v>6.25</v>
      </c>
    </row>
    <row r="35" spans="1:16" x14ac:dyDescent="0.2">
      <c r="A35" s="2" t="s">
        <v>34</v>
      </c>
      <c r="B35" s="5" t="s">
        <v>43</v>
      </c>
      <c r="C35" s="14">
        <v>3.1667000000000001</v>
      </c>
      <c r="D35" s="6" t="s">
        <v>80</v>
      </c>
      <c r="E35">
        <v>1</v>
      </c>
      <c r="F35">
        <f t="shared" si="0"/>
        <v>2</v>
      </c>
      <c r="J35" s="43" t="s">
        <v>19</v>
      </c>
      <c r="K35" s="6">
        <v>2</v>
      </c>
      <c r="L35" s="6" t="s">
        <v>91</v>
      </c>
      <c r="M35" s="6" t="s">
        <v>90</v>
      </c>
      <c r="N35" s="6"/>
      <c r="O35" s="6"/>
      <c r="P35">
        <f>_xlfn.XLOOKUP(J35, A:A, C:C)</f>
        <v>6.25</v>
      </c>
    </row>
    <row r="36" spans="1:16" x14ac:dyDescent="0.2">
      <c r="A36" s="2" t="s">
        <v>35</v>
      </c>
      <c r="B36" s="5" t="s">
        <v>43</v>
      </c>
      <c r="C36" s="37">
        <v>28</v>
      </c>
      <c r="D36" s="6" t="s">
        <v>81</v>
      </c>
      <c r="E36">
        <v>1</v>
      </c>
      <c r="F36">
        <f t="shared" si="0"/>
        <v>2</v>
      </c>
      <c r="J36" s="43" t="s">
        <v>20</v>
      </c>
      <c r="K36" s="6">
        <v>1</v>
      </c>
      <c r="L36" s="6" t="s">
        <v>90</v>
      </c>
      <c r="M36" s="6" t="s">
        <v>91</v>
      </c>
      <c r="N36" s="6"/>
      <c r="O36" s="6"/>
      <c r="P36">
        <f>_xlfn.XLOOKUP(J36, A:A, C:C)</f>
        <v>1.4</v>
      </c>
    </row>
    <row r="37" spans="1:16" x14ac:dyDescent="0.2">
      <c r="A37" s="2" t="s">
        <v>36</v>
      </c>
      <c r="B37" s="5" t="s">
        <v>43</v>
      </c>
      <c r="C37" s="38">
        <v>40</v>
      </c>
      <c r="D37" s="6" t="s">
        <v>82</v>
      </c>
      <c r="E37">
        <v>1</v>
      </c>
      <c r="F37">
        <f t="shared" si="0"/>
        <v>2</v>
      </c>
      <c r="J37" s="43" t="s">
        <v>20</v>
      </c>
      <c r="K37" s="6">
        <v>2</v>
      </c>
      <c r="L37" s="6" t="s">
        <v>91</v>
      </c>
      <c r="M37" s="6" t="s">
        <v>90</v>
      </c>
      <c r="N37" s="6"/>
      <c r="O37" s="6"/>
      <c r="P37">
        <f>_xlfn.XLOOKUP(J37, A:A, C:C)</f>
        <v>1.4</v>
      </c>
    </row>
    <row r="38" spans="1:16" x14ac:dyDescent="0.2">
      <c r="A38" s="2" t="s">
        <v>37</v>
      </c>
      <c r="B38" s="7" t="s">
        <v>45</v>
      </c>
      <c r="C38" s="39">
        <v>48</v>
      </c>
      <c r="D38" s="6" t="s">
        <v>83</v>
      </c>
      <c r="E38">
        <v>1</v>
      </c>
      <c r="F38">
        <f t="shared" si="0"/>
        <v>2</v>
      </c>
      <c r="J38" s="43" t="s">
        <v>21</v>
      </c>
      <c r="K38" s="6">
        <v>1</v>
      </c>
      <c r="L38" s="6" t="s">
        <v>90</v>
      </c>
      <c r="M38" s="6" t="s">
        <v>91</v>
      </c>
      <c r="N38" s="6"/>
      <c r="O38" s="6"/>
      <c r="P38">
        <f>_xlfn.XLOOKUP(J38, A:A, C:C)</f>
        <v>4.2332999999999998</v>
      </c>
    </row>
    <row r="39" spans="1:16" x14ac:dyDescent="0.2">
      <c r="A39" s="2" t="s">
        <v>38</v>
      </c>
      <c r="B39" s="5" t="s">
        <v>43</v>
      </c>
      <c r="C39" s="40">
        <v>32.417000000000002</v>
      </c>
      <c r="D39" s="6" t="s">
        <v>84</v>
      </c>
      <c r="E39">
        <v>1</v>
      </c>
      <c r="F39">
        <f t="shared" si="0"/>
        <v>2</v>
      </c>
      <c r="J39" s="43" t="s">
        <v>21</v>
      </c>
      <c r="K39" s="6">
        <v>2</v>
      </c>
      <c r="L39" s="6" t="s">
        <v>91</v>
      </c>
      <c r="M39" s="6" t="s">
        <v>90</v>
      </c>
      <c r="N39" s="6"/>
      <c r="O39" s="6"/>
      <c r="P39">
        <f>_xlfn.XLOOKUP(J39, A:A, C:C)</f>
        <v>4.2332999999999998</v>
      </c>
    </row>
    <row r="40" spans="1:16" x14ac:dyDescent="0.2">
      <c r="A40" s="2" t="s">
        <v>39</v>
      </c>
      <c r="B40" s="4" t="s">
        <v>42</v>
      </c>
      <c r="C40" s="41">
        <v>2.8</v>
      </c>
      <c r="D40" s="6" t="s">
        <v>85</v>
      </c>
      <c r="E40" s="44">
        <v>2</v>
      </c>
      <c r="F40" s="44">
        <f t="shared" si="0"/>
        <v>4</v>
      </c>
      <c r="J40" s="43" t="s">
        <v>22</v>
      </c>
      <c r="K40" s="6">
        <v>1</v>
      </c>
      <c r="L40" s="6" t="s">
        <v>90</v>
      </c>
      <c r="M40" s="6" t="s">
        <v>91</v>
      </c>
      <c r="N40" s="6"/>
      <c r="O40" s="6"/>
      <c r="P40">
        <f>_xlfn.XLOOKUP(J40, A:A, C:C)</f>
        <v>1.4833000000000001</v>
      </c>
    </row>
    <row r="41" spans="1:16" x14ac:dyDescent="0.2">
      <c r="A41" s="2" t="s">
        <v>40</v>
      </c>
      <c r="B41" s="5" t="s">
        <v>43</v>
      </c>
      <c r="C41" s="42">
        <v>13.75</v>
      </c>
      <c r="D41" s="6" t="s">
        <v>86</v>
      </c>
      <c r="E41">
        <v>1</v>
      </c>
      <c r="F41">
        <f t="shared" si="0"/>
        <v>2</v>
      </c>
      <c r="J41" s="43" t="s">
        <v>22</v>
      </c>
      <c r="K41" s="6">
        <v>2</v>
      </c>
      <c r="L41" s="6" t="s">
        <v>91</v>
      </c>
      <c r="M41" s="6" t="s">
        <v>90</v>
      </c>
      <c r="N41" s="6"/>
      <c r="O41" s="6"/>
      <c r="P41">
        <f>_xlfn.XLOOKUP(J41, A:A, C:C)</f>
        <v>1.4833000000000001</v>
      </c>
    </row>
    <row r="42" spans="1:16" x14ac:dyDescent="0.2">
      <c r="J42" s="43" t="s">
        <v>23</v>
      </c>
      <c r="K42" s="6">
        <v>1</v>
      </c>
      <c r="L42" s="6" t="s">
        <v>90</v>
      </c>
      <c r="M42" s="6" t="s">
        <v>91</v>
      </c>
      <c r="N42" s="6"/>
      <c r="O42" s="6"/>
      <c r="P42">
        <f>_xlfn.XLOOKUP(J42, A:A, C:C)</f>
        <v>5.5</v>
      </c>
    </row>
    <row r="43" spans="1:16" x14ac:dyDescent="0.2">
      <c r="J43" s="43" t="s">
        <v>23</v>
      </c>
      <c r="K43" s="6">
        <v>2</v>
      </c>
      <c r="L43" s="6" t="s">
        <v>91</v>
      </c>
      <c r="M43" s="6" t="s">
        <v>90</v>
      </c>
      <c r="N43" s="6"/>
      <c r="O43" s="6"/>
      <c r="P43">
        <f>_xlfn.XLOOKUP(J43, A:A, C:C)</f>
        <v>5.5</v>
      </c>
    </row>
    <row r="44" spans="1:16" x14ac:dyDescent="0.2">
      <c r="J44" s="43" t="s">
        <v>24</v>
      </c>
      <c r="K44" s="6">
        <v>1</v>
      </c>
      <c r="L44" s="6" t="s">
        <v>90</v>
      </c>
      <c r="M44" s="6" t="s">
        <v>91</v>
      </c>
      <c r="N44" s="6"/>
      <c r="O44" s="6"/>
      <c r="P44">
        <f>_xlfn.XLOOKUP(J44, A:A, C:C)</f>
        <v>3.8332999999999999</v>
      </c>
    </row>
    <row r="45" spans="1:16" x14ac:dyDescent="0.2">
      <c r="J45" s="43" t="s">
        <v>24</v>
      </c>
      <c r="K45" s="6">
        <v>2</v>
      </c>
      <c r="L45" s="6" t="s">
        <v>91</v>
      </c>
      <c r="M45" s="6" t="s">
        <v>90</v>
      </c>
      <c r="N45" s="6"/>
      <c r="O45" s="6"/>
      <c r="P45">
        <f>_xlfn.XLOOKUP(J45, A:A, C:C)</f>
        <v>3.8332999999999999</v>
      </c>
    </row>
    <row r="46" spans="1:16" x14ac:dyDescent="0.2">
      <c r="J46" s="43" t="s">
        <v>25</v>
      </c>
      <c r="K46" s="6">
        <v>1</v>
      </c>
      <c r="L46" s="6" t="s">
        <v>90</v>
      </c>
      <c r="M46" s="6" t="s">
        <v>91</v>
      </c>
      <c r="N46" s="6"/>
      <c r="O46" s="6"/>
      <c r="P46">
        <f>_xlfn.XLOOKUP(J46, A:A, C:C)</f>
        <v>19</v>
      </c>
    </row>
    <row r="47" spans="1:16" x14ac:dyDescent="0.2">
      <c r="J47" s="43" t="s">
        <v>25</v>
      </c>
      <c r="K47" s="6">
        <v>2</v>
      </c>
      <c r="L47" s="6" t="s">
        <v>91</v>
      </c>
      <c r="M47" s="6" t="s">
        <v>90</v>
      </c>
      <c r="N47" s="6"/>
      <c r="O47" s="6"/>
      <c r="P47">
        <f>_xlfn.XLOOKUP(J47, A:A, C:C)</f>
        <v>19</v>
      </c>
    </row>
    <row r="48" spans="1:16" x14ac:dyDescent="0.2">
      <c r="J48" s="43" t="s">
        <v>26</v>
      </c>
      <c r="K48" s="6">
        <v>1</v>
      </c>
      <c r="L48" s="6" t="s">
        <v>90</v>
      </c>
      <c r="M48" s="6" t="s">
        <v>91</v>
      </c>
      <c r="N48" s="6"/>
      <c r="O48" s="6"/>
      <c r="P48">
        <f>_xlfn.XLOOKUP(J48, A:A, C:C)</f>
        <v>11.75</v>
      </c>
    </row>
    <row r="49" spans="10:16" x14ac:dyDescent="0.2">
      <c r="J49" s="43" t="s">
        <v>26</v>
      </c>
      <c r="K49" s="6">
        <v>2</v>
      </c>
      <c r="L49" s="6" t="s">
        <v>91</v>
      </c>
      <c r="M49" s="6" t="s">
        <v>90</v>
      </c>
      <c r="N49" s="6"/>
      <c r="O49" s="6"/>
      <c r="P49">
        <f>_xlfn.XLOOKUP(J49, A:A, C:C)</f>
        <v>11.75</v>
      </c>
    </row>
    <row r="50" spans="10:16" x14ac:dyDescent="0.2">
      <c r="J50" s="43" t="s">
        <v>27</v>
      </c>
      <c r="K50" s="6">
        <v>1</v>
      </c>
      <c r="L50" s="6" t="s">
        <v>90</v>
      </c>
      <c r="M50" s="6" t="s">
        <v>91</v>
      </c>
      <c r="N50" s="6"/>
      <c r="O50" s="6"/>
      <c r="P50">
        <f>_xlfn.XLOOKUP(J50, A:A, C:C)</f>
        <v>12.5</v>
      </c>
    </row>
    <row r="51" spans="10:16" x14ac:dyDescent="0.2">
      <c r="J51" s="43" t="s">
        <v>27</v>
      </c>
      <c r="K51" s="6">
        <v>2</v>
      </c>
      <c r="L51" s="6" t="s">
        <v>91</v>
      </c>
      <c r="M51" s="6" t="s">
        <v>90</v>
      </c>
      <c r="N51" s="6"/>
      <c r="O51" s="6"/>
      <c r="P51">
        <f>_xlfn.XLOOKUP(J51, A:A, C:C)</f>
        <v>12.5</v>
      </c>
    </row>
    <row r="52" spans="10:16" x14ac:dyDescent="0.2">
      <c r="J52" s="43" t="s">
        <v>28</v>
      </c>
      <c r="K52" s="6">
        <v>1</v>
      </c>
      <c r="L52" s="6" t="s">
        <v>90</v>
      </c>
      <c r="M52" s="6" t="s">
        <v>91</v>
      </c>
      <c r="N52" s="6"/>
      <c r="O52" s="6"/>
      <c r="P52">
        <f>_xlfn.XLOOKUP(J52, A:A, C:C)</f>
        <v>3.7166999999999999</v>
      </c>
    </row>
    <row r="53" spans="10:16" x14ac:dyDescent="0.2">
      <c r="J53" s="43" t="s">
        <v>28</v>
      </c>
      <c r="K53" s="6">
        <v>2</v>
      </c>
      <c r="L53" s="6" t="s">
        <v>91</v>
      </c>
      <c r="M53" s="6" t="s">
        <v>90</v>
      </c>
      <c r="N53" s="6"/>
      <c r="O53" s="6"/>
      <c r="P53">
        <f>_xlfn.XLOOKUP(J53, A:A, C:C)</f>
        <v>3.7166999999999999</v>
      </c>
    </row>
    <row r="54" spans="10:16" x14ac:dyDescent="0.2">
      <c r="J54" s="43" t="s">
        <v>29</v>
      </c>
      <c r="K54" s="6">
        <v>1</v>
      </c>
      <c r="L54" s="6" t="s">
        <v>90</v>
      </c>
      <c r="M54" s="6" t="s">
        <v>91</v>
      </c>
      <c r="N54" s="6"/>
      <c r="O54" s="6"/>
      <c r="P54">
        <f>_xlfn.XLOOKUP(J54, A:A, C:C)</f>
        <v>6.5</v>
      </c>
    </row>
    <row r="55" spans="10:16" x14ac:dyDescent="0.2">
      <c r="J55" s="43" t="s">
        <v>29</v>
      </c>
      <c r="K55" s="6">
        <v>2</v>
      </c>
      <c r="L55" s="6" t="s">
        <v>91</v>
      </c>
      <c r="M55" s="6" t="s">
        <v>90</v>
      </c>
      <c r="N55" s="6"/>
      <c r="O55" s="6"/>
      <c r="P55">
        <f>_xlfn.XLOOKUP(J55, A:A, C:C)</f>
        <v>6.5</v>
      </c>
    </row>
    <row r="56" spans="10:16" x14ac:dyDescent="0.2">
      <c r="J56" s="43" t="s">
        <v>30</v>
      </c>
      <c r="K56" s="6">
        <v>1</v>
      </c>
      <c r="L56" s="6" t="s">
        <v>90</v>
      </c>
      <c r="M56" s="6" t="s">
        <v>91</v>
      </c>
      <c r="N56" s="6"/>
      <c r="O56" s="6"/>
      <c r="P56">
        <f>_xlfn.XLOOKUP(J56, A:A, C:C)</f>
        <v>5.6666999999999996</v>
      </c>
    </row>
    <row r="57" spans="10:16" x14ac:dyDescent="0.2">
      <c r="J57" s="43" t="s">
        <v>30</v>
      </c>
      <c r="K57" s="6">
        <v>2</v>
      </c>
      <c r="L57" s="6" t="s">
        <v>91</v>
      </c>
      <c r="M57" s="6" t="s">
        <v>90</v>
      </c>
      <c r="N57" s="6"/>
      <c r="O57" s="6"/>
      <c r="P57">
        <f>_xlfn.XLOOKUP(J57, A:A, C:C)</f>
        <v>5.6666999999999996</v>
      </c>
    </row>
    <row r="58" spans="10:16" x14ac:dyDescent="0.2">
      <c r="J58" s="43" t="s">
        <v>31</v>
      </c>
      <c r="K58" s="6">
        <v>1</v>
      </c>
      <c r="L58" s="6" t="s">
        <v>90</v>
      </c>
      <c r="M58" s="6" t="s">
        <v>91</v>
      </c>
      <c r="N58" s="6"/>
      <c r="O58" s="6"/>
      <c r="P58">
        <f>_xlfn.XLOOKUP(J58, A:A, C:C)</f>
        <v>12.5</v>
      </c>
    </row>
    <row r="59" spans="10:16" x14ac:dyDescent="0.2">
      <c r="J59" s="43" t="s">
        <v>31</v>
      </c>
      <c r="K59" s="6">
        <v>2</v>
      </c>
      <c r="L59" s="6" t="s">
        <v>91</v>
      </c>
      <c r="M59" s="6" t="s">
        <v>90</v>
      </c>
      <c r="N59" s="6"/>
      <c r="O59" s="6"/>
      <c r="P59">
        <f>_xlfn.XLOOKUP(J59, A:A, C:C)</f>
        <v>12.5</v>
      </c>
    </row>
    <row r="60" spans="10:16" x14ac:dyDescent="0.2">
      <c r="J60" s="43" t="s">
        <v>32</v>
      </c>
      <c r="K60" s="6">
        <v>1</v>
      </c>
      <c r="L60" s="6" t="s">
        <v>90</v>
      </c>
      <c r="M60" s="6" t="s">
        <v>91</v>
      </c>
      <c r="N60" s="6"/>
      <c r="O60" s="6"/>
      <c r="P60">
        <f>_xlfn.XLOOKUP(J60, A:A, C:C)</f>
        <v>9</v>
      </c>
    </row>
    <row r="61" spans="10:16" x14ac:dyDescent="0.2">
      <c r="J61" s="43" t="s">
        <v>32</v>
      </c>
      <c r="K61" s="6">
        <v>2</v>
      </c>
      <c r="L61" s="6" t="s">
        <v>91</v>
      </c>
      <c r="M61" s="6" t="s">
        <v>90</v>
      </c>
      <c r="N61" s="6"/>
      <c r="O61" s="6"/>
      <c r="P61">
        <f>_xlfn.XLOOKUP(J61, A:A, C:C)</f>
        <v>9</v>
      </c>
    </row>
    <row r="62" spans="10:16" x14ac:dyDescent="0.2">
      <c r="J62" s="43" t="s">
        <v>33</v>
      </c>
      <c r="K62" s="6">
        <v>1</v>
      </c>
      <c r="L62" s="6" t="s">
        <v>90</v>
      </c>
      <c r="M62" s="6" t="s">
        <v>91</v>
      </c>
      <c r="N62" s="6"/>
      <c r="O62" s="6"/>
      <c r="P62">
        <f>_xlfn.XLOOKUP(J62, A:A, C:C)</f>
        <v>9.3332999999999995</v>
      </c>
    </row>
    <row r="63" spans="10:16" x14ac:dyDescent="0.2">
      <c r="J63" s="43" t="s">
        <v>33</v>
      </c>
      <c r="K63" s="6">
        <v>2</v>
      </c>
      <c r="L63" s="6" t="s">
        <v>91</v>
      </c>
      <c r="M63" s="6" t="s">
        <v>90</v>
      </c>
      <c r="N63" s="6"/>
      <c r="O63" s="6"/>
      <c r="P63">
        <f>_xlfn.XLOOKUP(J63, A:A, C:C)</f>
        <v>9.3332999999999995</v>
      </c>
    </row>
    <row r="64" spans="10:16" x14ac:dyDescent="0.2">
      <c r="J64" s="43" t="s">
        <v>34</v>
      </c>
      <c r="K64" s="6">
        <v>1</v>
      </c>
      <c r="L64" s="6" t="s">
        <v>90</v>
      </c>
      <c r="M64" s="6" t="s">
        <v>91</v>
      </c>
      <c r="N64" s="6"/>
      <c r="O64" s="6"/>
      <c r="P64">
        <f>_xlfn.XLOOKUP(J64, A:A, C:C)</f>
        <v>3.1667000000000001</v>
      </c>
    </row>
    <row r="65" spans="10:16" x14ac:dyDescent="0.2">
      <c r="J65" s="43" t="s">
        <v>34</v>
      </c>
      <c r="K65" s="6">
        <v>2</v>
      </c>
      <c r="L65" s="6" t="s">
        <v>91</v>
      </c>
      <c r="M65" s="6" t="s">
        <v>90</v>
      </c>
      <c r="N65" s="6"/>
      <c r="O65" s="6"/>
      <c r="P65">
        <f>_xlfn.XLOOKUP(J65, A:A, C:C)</f>
        <v>3.1667000000000001</v>
      </c>
    </row>
    <row r="66" spans="10:16" x14ac:dyDescent="0.2">
      <c r="J66" s="43" t="s">
        <v>35</v>
      </c>
      <c r="K66" s="6">
        <v>1</v>
      </c>
      <c r="L66" s="6" t="s">
        <v>90</v>
      </c>
      <c r="M66" s="6" t="s">
        <v>91</v>
      </c>
      <c r="N66" s="6"/>
      <c r="O66" s="6"/>
      <c r="P66">
        <f>_xlfn.XLOOKUP(J66, A:A, C:C)</f>
        <v>28</v>
      </c>
    </row>
    <row r="67" spans="10:16" x14ac:dyDescent="0.2">
      <c r="J67" s="43" t="s">
        <v>35</v>
      </c>
      <c r="K67" s="6">
        <v>2</v>
      </c>
      <c r="L67" s="6" t="s">
        <v>91</v>
      </c>
      <c r="M67" s="6" t="s">
        <v>90</v>
      </c>
      <c r="N67" s="6"/>
      <c r="O67" s="6"/>
      <c r="P67">
        <f>_xlfn.XLOOKUP(J67, A:A, C:C)</f>
        <v>28</v>
      </c>
    </row>
    <row r="68" spans="10:16" x14ac:dyDescent="0.2">
      <c r="J68" s="43" t="s">
        <v>36</v>
      </c>
      <c r="K68" s="6">
        <v>1</v>
      </c>
      <c r="L68" s="6" t="s">
        <v>90</v>
      </c>
      <c r="M68" s="6" t="s">
        <v>91</v>
      </c>
      <c r="N68" s="6"/>
      <c r="O68" s="6"/>
      <c r="P68">
        <f>_xlfn.XLOOKUP(J68, A:A, C:C)</f>
        <v>40</v>
      </c>
    </row>
    <row r="69" spans="10:16" x14ac:dyDescent="0.2">
      <c r="J69" s="43" t="s">
        <v>36</v>
      </c>
      <c r="K69" s="6">
        <v>2</v>
      </c>
      <c r="L69" s="6" t="s">
        <v>91</v>
      </c>
      <c r="M69" s="6" t="s">
        <v>90</v>
      </c>
      <c r="N69" s="6"/>
      <c r="O69" s="6"/>
      <c r="P69">
        <f>_xlfn.XLOOKUP(J69, A:A, C:C)</f>
        <v>40</v>
      </c>
    </row>
    <row r="70" spans="10:16" x14ac:dyDescent="0.2">
      <c r="J70" s="43" t="s">
        <v>37</v>
      </c>
      <c r="K70" s="6">
        <v>1</v>
      </c>
      <c r="L70" s="6" t="s">
        <v>90</v>
      </c>
      <c r="M70" s="6" t="s">
        <v>91</v>
      </c>
      <c r="N70" s="6"/>
      <c r="O70" s="6"/>
      <c r="P70">
        <f>_xlfn.XLOOKUP(J70, A:A, C:C)</f>
        <v>48</v>
      </c>
    </row>
    <row r="71" spans="10:16" x14ac:dyDescent="0.2">
      <c r="J71" s="43" t="s">
        <v>37</v>
      </c>
      <c r="K71" s="6">
        <v>2</v>
      </c>
      <c r="L71" s="6" t="s">
        <v>91</v>
      </c>
      <c r="M71" s="6" t="s">
        <v>90</v>
      </c>
      <c r="N71" s="6"/>
      <c r="O71" s="6"/>
      <c r="P71">
        <f>_xlfn.XLOOKUP(J71, A:A, C:C)</f>
        <v>48</v>
      </c>
    </row>
    <row r="72" spans="10:16" x14ac:dyDescent="0.2">
      <c r="J72" s="43" t="s">
        <v>38</v>
      </c>
      <c r="K72" s="6">
        <v>1</v>
      </c>
      <c r="L72" s="6" t="s">
        <v>90</v>
      </c>
      <c r="M72" s="6" t="s">
        <v>91</v>
      </c>
      <c r="N72" s="6"/>
      <c r="O72" s="6"/>
      <c r="P72">
        <f>_xlfn.XLOOKUP(J72, A:A, C:C)</f>
        <v>32.417000000000002</v>
      </c>
    </row>
    <row r="73" spans="10:16" x14ac:dyDescent="0.2">
      <c r="J73" s="43" t="s">
        <v>38</v>
      </c>
      <c r="K73" s="6">
        <v>2</v>
      </c>
      <c r="L73" s="6" t="s">
        <v>91</v>
      </c>
      <c r="M73" s="6" t="s">
        <v>90</v>
      </c>
      <c r="N73" s="6"/>
      <c r="O73" s="6"/>
      <c r="P73">
        <f>_xlfn.XLOOKUP(J73, A:A, C:C)</f>
        <v>32.417000000000002</v>
      </c>
    </row>
    <row r="74" spans="10:16" x14ac:dyDescent="0.2">
      <c r="J74" s="43" t="s">
        <v>40</v>
      </c>
      <c r="K74" s="6">
        <v>1</v>
      </c>
      <c r="L74" s="6" t="s">
        <v>90</v>
      </c>
      <c r="M74" s="6" t="s">
        <v>91</v>
      </c>
      <c r="N74" s="6"/>
      <c r="O74" s="6"/>
      <c r="P74">
        <f>_xlfn.XLOOKUP(J74, A:A, C:C)</f>
        <v>13.75</v>
      </c>
    </row>
    <row r="75" spans="10:16" x14ac:dyDescent="0.2">
      <c r="J75" s="50" t="s">
        <v>40</v>
      </c>
      <c r="K75" s="51">
        <v>2</v>
      </c>
      <c r="L75" s="51" t="s">
        <v>91</v>
      </c>
      <c r="M75" s="51" t="s">
        <v>90</v>
      </c>
      <c r="N75" s="51"/>
      <c r="O75" s="51"/>
      <c r="P75" s="52">
        <f>_xlfn.XLOOKUP(J75, A:A, C:C)</f>
        <v>13.75</v>
      </c>
    </row>
    <row r="76" spans="10:16" x14ac:dyDescent="0.2">
      <c r="J76" s="2" t="s">
        <v>39</v>
      </c>
      <c r="K76" s="53">
        <v>1</v>
      </c>
      <c r="L76" s="6" t="s">
        <v>90</v>
      </c>
      <c r="M76" s="6" t="s">
        <v>91</v>
      </c>
      <c r="P76" s="52">
        <f t="shared" ref="P76:P117" si="1">_xlfn.XLOOKUP(J76, A:A, C:C)</f>
        <v>2.8</v>
      </c>
    </row>
    <row r="77" spans="10:16" x14ac:dyDescent="0.2">
      <c r="J77" s="2" t="s">
        <v>39</v>
      </c>
      <c r="K77" s="53">
        <v>2</v>
      </c>
      <c r="L77" s="6" t="s">
        <v>90</v>
      </c>
      <c r="M77" s="6" t="s">
        <v>91</v>
      </c>
      <c r="P77" s="52">
        <f t="shared" si="1"/>
        <v>2.8</v>
      </c>
    </row>
    <row r="78" spans="10:16" x14ac:dyDescent="0.2">
      <c r="J78" s="2" t="s">
        <v>39</v>
      </c>
      <c r="K78" s="53">
        <v>3</v>
      </c>
      <c r="L78" s="6" t="s">
        <v>91</v>
      </c>
      <c r="M78" s="6" t="s">
        <v>90</v>
      </c>
      <c r="P78" s="52">
        <f t="shared" si="1"/>
        <v>2.8</v>
      </c>
    </row>
    <row r="79" spans="10:16" x14ac:dyDescent="0.2">
      <c r="J79" s="2" t="s">
        <v>39</v>
      </c>
      <c r="K79" s="53">
        <v>4</v>
      </c>
      <c r="L79" s="6" t="s">
        <v>91</v>
      </c>
      <c r="M79" s="6" t="s">
        <v>90</v>
      </c>
      <c r="P79" s="52">
        <f t="shared" si="1"/>
        <v>2.8</v>
      </c>
    </row>
    <row r="80" spans="10:16" x14ac:dyDescent="0.2">
      <c r="J80" s="2" t="s">
        <v>32</v>
      </c>
      <c r="K80" s="53">
        <v>1</v>
      </c>
      <c r="L80" s="6" t="s">
        <v>90</v>
      </c>
      <c r="M80" s="6" t="s">
        <v>91</v>
      </c>
      <c r="P80" s="52">
        <f t="shared" si="1"/>
        <v>9</v>
      </c>
    </row>
    <row r="81" spans="8:16" x14ac:dyDescent="0.2">
      <c r="J81" s="2" t="s">
        <v>32</v>
      </c>
      <c r="K81" s="53">
        <v>2</v>
      </c>
      <c r="L81" s="6" t="s">
        <v>90</v>
      </c>
      <c r="M81" s="6" t="s">
        <v>91</v>
      </c>
      <c r="P81" s="52">
        <f t="shared" si="1"/>
        <v>9</v>
      </c>
    </row>
    <row r="82" spans="8:16" x14ac:dyDescent="0.2">
      <c r="J82" s="2" t="s">
        <v>32</v>
      </c>
      <c r="K82" s="53">
        <v>3</v>
      </c>
      <c r="L82" s="6" t="s">
        <v>90</v>
      </c>
      <c r="M82" s="6" t="s">
        <v>91</v>
      </c>
      <c r="P82" s="52">
        <f t="shared" si="1"/>
        <v>9</v>
      </c>
    </row>
    <row r="83" spans="8:16" x14ac:dyDescent="0.2">
      <c r="J83" s="2" t="s">
        <v>32</v>
      </c>
      <c r="K83" s="53">
        <v>4</v>
      </c>
      <c r="L83" s="6" t="s">
        <v>90</v>
      </c>
      <c r="M83" s="6" t="s">
        <v>91</v>
      </c>
      <c r="P83" s="52">
        <f t="shared" si="1"/>
        <v>9</v>
      </c>
    </row>
    <row r="84" spans="8:16" x14ac:dyDescent="0.2">
      <c r="J84" s="2" t="s">
        <v>32</v>
      </c>
      <c r="K84" s="53">
        <v>5</v>
      </c>
      <c r="L84" s="6" t="s">
        <v>90</v>
      </c>
      <c r="M84" s="6" t="s">
        <v>91</v>
      </c>
      <c r="P84" s="52">
        <f t="shared" si="1"/>
        <v>9</v>
      </c>
    </row>
    <row r="85" spans="8:16" x14ac:dyDescent="0.2">
      <c r="J85" s="2" t="s">
        <v>32</v>
      </c>
      <c r="K85" s="53">
        <v>6</v>
      </c>
      <c r="L85" s="6" t="s">
        <v>90</v>
      </c>
      <c r="M85" s="6" t="s">
        <v>91</v>
      </c>
      <c r="P85" s="52">
        <f t="shared" si="1"/>
        <v>9</v>
      </c>
    </row>
    <row r="86" spans="8:16" x14ac:dyDescent="0.2">
      <c r="J86" s="2" t="s">
        <v>32</v>
      </c>
      <c r="K86" s="53">
        <v>7</v>
      </c>
      <c r="L86" s="6" t="s">
        <v>90</v>
      </c>
      <c r="M86" s="6" t="s">
        <v>91</v>
      </c>
      <c r="P86" s="52">
        <f t="shared" si="1"/>
        <v>9</v>
      </c>
    </row>
    <row r="87" spans="8:16" x14ac:dyDescent="0.2">
      <c r="I87" s="2"/>
      <c r="J87" s="2" t="s">
        <v>32</v>
      </c>
      <c r="K87" s="53">
        <v>8</v>
      </c>
      <c r="L87" s="6" t="s">
        <v>90</v>
      </c>
      <c r="M87" s="6" t="s">
        <v>91</v>
      </c>
      <c r="P87" s="52">
        <f t="shared" si="1"/>
        <v>9</v>
      </c>
    </row>
    <row r="88" spans="8:16" x14ac:dyDescent="0.2">
      <c r="I88" s="2"/>
      <c r="J88" s="2" t="s">
        <v>32</v>
      </c>
      <c r="K88" s="53">
        <v>9</v>
      </c>
      <c r="L88" s="6" t="s">
        <v>90</v>
      </c>
      <c r="M88" s="6" t="s">
        <v>91</v>
      </c>
      <c r="P88" s="52">
        <f t="shared" si="1"/>
        <v>9</v>
      </c>
    </row>
    <row r="89" spans="8:16" x14ac:dyDescent="0.2">
      <c r="I89" s="2"/>
      <c r="J89" s="2" t="s">
        <v>32</v>
      </c>
      <c r="K89" s="53">
        <v>10</v>
      </c>
      <c r="L89" s="6" t="s">
        <v>90</v>
      </c>
      <c r="M89" s="6" t="s">
        <v>91</v>
      </c>
      <c r="P89" s="52">
        <f t="shared" si="1"/>
        <v>9</v>
      </c>
    </row>
    <row r="90" spans="8:16" x14ac:dyDescent="0.2">
      <c r="H90" s="2"/>
      <c r="I90" s="2"/>
      <c r="J90" s="2" t="s">
        <v>32</v>
      </c>
      <c r="K90" s="53">
        <v>11</v>
      </c>
      <c r="L90" s="6" t="s">
        <v>90</v>
      </c>
      <c r="M90" s="6" t="s">
        <v>91</v>
      </c>
      <c r="P90" s="52">
        <f t="shared" si="1"/>
        <v>9</v>
      </c>
    </row>
    <row r="91" spans="8:16" x14ac:dyDescent="0.2">
      <c r="H91" s="2"/>
      <c r="I91" s="2"/>
      <c r="J91" s="2" t="s">
        <v>32</v>
      </c>
      <c r="K91" s="53">
        <v>12</v>
      </c>
      <c r="L91" s="6" t="s">
        <v>90</v>
      </c>
      <c r="M91" s="6" t="s">
        <v>91</v>
      </c>
      <c r="P91" s="52">
        <f t="shared" si="1"/>
        <v>9</v>
      </c>
    </row>
    <row r="92" spans="8:16" x14ac:dyDescent="0.2">
      <c r="H92" s="2"/>
      <c r="I92" s="2"/>
      <c r="J92" s="2" t="s">
        <v>32</v>
      </c>
      <c r="K92" s="53">
        <v>13</v>
      </c>
      <c r="L92" s="6" t="s">
        <v>90</v>
      </c>
      <c r="M92" s="6" t="s">
        <v>91</v>
      </c>
      <c r="P92" s="52">
        <f t="shared" si="1"/>
        <v>9</v>
      </c>
    </row>
    <row r="93" spans="8:16" x14ac:dyDescent="0.2">
      <c r="H93" s="2"/>
      <c r="I93" s="2"/>
      <c r="J93" s="2" t="s">
        <v>32</v>
      </c>
      <c r="K93" s="53">
        <v>14</v>
      </c>
      <c r="L93" s="6" t="s">
        <v>90</v>
      </c>
      <c r="M93" s="6" t="s">
        <v>91</v>
      </c>
      <c r="P93" s="52">
        <f t="shared" si="1"/>
        <v>9</v>
      </c>
    </row>
    <row r="94" spans="8:16" x14ac:dyDescent="0.2">
      <c r="H94" s="2"/>
      <c r="I94" s="2"/>
      <c r="J94" s="2" t="s">
        <v>32</v>
      </c>
      <c r="K94" s="53">
        <v>15</v>
      </c>
      <c r="L94" s="6" t="s">
        <v>91</v>
      </c>
      <c r="M94" s="6" t="s">
        <v>90</v>
      </c>
      <c r="P94" s="52">
        <f t="shared" si="1"/>
        <v>9</v>
      </c>
    </row>
    <row r="95" spans="8:16" x14ac:dyDescent="0.2">
      <c r="H95" s="2"/>
      <c r="I95" s="2"/>
      <c r="J95" s="2" t="s">
        <v>32</v>
      </c>
      <c r="K95" s="53">
        <v>16</v>
      </c>
      <c r="L95" s="6" t="s">
        <v>91</v>
      </c>
      <c r="M95" s="6" t="s">
        <v>90</v>
      </c>
      <c r="P95" s="52">
        <f t="shared" si="1"/>
        <v>9</v>
      </c>
    </row>
    <row r="96" spans="8:16" x14ac:dyDescent="0.2">
      <c r="H96" s="2"/>
      <c r="I96" s="2"/>
      <c r="J96" s="2" t="s">
        <v>32</v>
      </c>
      <c r="K96" s="53">
        <v>17</v>
      </c>
      <c r="L96" s="6" t="s">
        <v>91</v>
      </c>
      <c r="M96" s="6" t="s">
        <v>90</v>
      </c>
      <c r="P96" s="52">
        <f t="shared" si="1"/>
        <v>9</v>
      </c>
    </row>
    <row r="97" spans="8:16" x14ac:dyDescent="0.2">
      <c r="H97" s="2"/>
      <c r="I97" s="2"/>
      <c r="J97" s="2" t="s">
        <v>32</v>
      </c>
      <c r="K97" s="53">
        <v>18</v>
      </c>
      <c r="L97" s="6" t="s">
        <v>91</v>
      </c>
      <c r="M97" s="6" t="s">
        <v>90</v>
      </c>
      <c r="P97" s="52">
        <f t="shared" si="1"/>
        <v>9</v>
      </c>
    </row>
    <row r="98" spans="8:16" x14ac:dyDescent="0.2">
      <c r="I98" s="2"/>
      <c r="J98" s="2" t="s">
        <v>32</v>
      </c>
      <c r="K98" s="53">
        <v>19</v>
      </c>
      <c r="L98" s="6" t="s">
        <v>91</v>
      </c>
      <c r="M98" s="6" t="s">
        <v>90</v>
      </c>
      <c r="P98" s="52">
        <f t="shared" si="1"/>
        <v>9</v>
      </c>
    </row>
    <row r="99" spans="8:16" x14ac:dyDescent="0.2">
      <c r="I99" s="2"/>
      <c r="J99" s="2" t="s">
        <v>32</v>
      </c>
      <c r="K99" s="53">
        <v>20</v>
      </c>
      <c r="L99" s="6" t="s">
        <v>91</v>
      </c>
      <c r="M99" s="6" t="s">
        <v>90</v>
      </c>
      <c r="P99" s="52">
        <f t="shared" si="1"/>
        <v>9</v>
      </c>
    </row>
    <row r="100" spans="8:16" x14ac:dyDescent="0.2">
      <c r="I100" s="2"/>
      <c r="J100" s="2" t="s">
        <v>32</v>
      </c>
      <c r="K100" s="53">
        <v>21</v>
      </c>
      <c r="L100" s="6" t="s">
        <v>91</v>
      </c>
      <c r="M100" s="6" t="s">
        <v>90</v>
      </c>
      <c r="P100" s="52">
        <f t="shared" si="1"/>
        <v>9</v>
      </c>
    </row>
    <row r="101" spans="8:16" x14ac:dyDescent="0.2">
      <c r="I101" s="2"/>
      <c r="J101" s="2" t="s">
        <v>32</v>
      </c>
      <c r="K101" s="53">
        <v>22</v>
      </c>
      <c r="L101" s="6" t="s">
        <v>91</v>
      </c>
      <c r="M101" s="6" t="s">
        <v>90</v>
      </c>
      <c r="P101" s="52">
        <f t="shared" si="1"/>
        <v>9</v>
      </c>
    </row>
    <row r="102" spans="8:16" x14ac:dyDescent="0.2">
      <c r="I102" s="2"/>
      <c r="J102" s="2" t="s">
        <v>32</v>
      </c>
      <c r="K102" s="53">
        <v>23</v>
      </c>
      <c r="L102" s="6" t="s">
        <v>91</v>
      </c>
      <c r="M102" s="6" t="s">
        <v>90</v>
      </c>
      <c r="P102" s="52">
        <f t="shared" si="1"/>
        <v>9</v>
      </c>
    </row>
    <row r="103" spans="8:16" x14ac:dyDescent="0.2">
      <c r="J103" s="2" t="s">
        <v>32</v>
      </c>
      <c r="K103" s="53">
        <v>24</v>
      </c>
      <c r="L103" s="6" t="s">
        <v>91</v>
      </c>
      <c r="M103" s="6" t="s">
        <v>90</v>
      </c>
      <c r="P103" s="52">
        <f t="shared" si="1"/>
        <v>9</v>
      </c>
    </row>
    <row r="104" spans="8:16" x14ac:dyDescent="0.2">
      <c r="J104" s="2" t="s">
        <v>32</v>
      </c>
      <c r="K104" s="53">
        <v>25</v>
      </c>
      <c r="L104" s="6" t="s">
        <v>91</v>
      </c>
      <c r="M104" s="6" t="s">
        <v>90</v>
      </c>
      <c r="P104" s="52">
        <f t="shared" si="1"/>
        <v>9</v>
      </c>
    </row>
    <row r="105" spans="8:16" x14ac:dyDescent="0.2">
      <c r="J105" s="2" t="s">
        <v>32</v>
      </c>
      <c r="K105" s="53">
        <v>26</v>
      </c>
      <c r="L105" s="6" t="s">
        <v>91</v>
      </c>
      <c r="M105" s="6" t="s">
        <v>90</v>
      </c>
      <c r="P105" s="52">
        <f t="shared" si="1"/>
        <v>9</v>
      </c>
    </row>
    <row r="106" spans="8:16" x14ac:dyDescent="0.2">
      <c r="J106" s="2" t="s">
        <v>32</v>
      </c>
      <c r="K106" s="53">
        <v>27</v>
      </c>
      <c r="L106" s="6" t="s">
        <v>91</v>
      </c>
      <c r="M106" s="6" t="s">
        <v>90</v>
      </c>
      <c r="P106" s="52">
        <f t="shared" si="1"/>
        <v>9</v>
      </c>
    </row>
    <row r="107" spans="8:16" x14ac:dyDescent="0.2">
      <c r="J107" s="2" t="s">
        <v>32</v>
      </c>
      <c r="K107" s="53">
        <v>28</v>
      </c>
      <c r="L107" s="6" t="s">
        <v>91</v>
      </c>
      <c r="M107" s="6" t="s">
        <v>90</v>
      </c>
      <c r="P107" s="52">
        <f t="shared" si="1"/>
        <v>9</v>
      </c>
    </row>
    <row r="108" spans="8:16" x14ac:dyDescent="0.2">
      <c r="J108" s="2" t="s">
        <v>14</v>
      </c>
      <c r="K108" s="53">
        <v>1</v>
      </c>
      <c r="L108" s="6" t="s">
        <v>90</v>
      </c>
      <c r="M108" s="6" t="s">
        <v>91</v>
      </c>
      <c r="P108" s="52">
        <f t="shared" si="1"/>
        <v>3.4167000000000001</v>
      </c>
    </row>
    <row r="109" spans="8:16" x14ac:dyDescent="0.2">
      <c r="J109" s="2" t="s">
        <v>14</v>
      </c>
      <c r="K109" s="53">
        <v>2</v>
      </c>
      <c r="L109" s="6" t="s">
        <v>90</v>
      </c>
      <c r="M109" s="6" t="s">
        <v>91</v>
      </c>
      <c r="P109" s="52">
        <f t="shared" si="1"/>
        <v>3.4167000000000001</v>
      </c>
    </row>
    <row r="110" spans="8:16" x14ac:dyDescent="0.2">
      <c r="J110" s="2" t="s">
        <v>14</v>
      </c>
      <c r="K110" s="53">
        <v>3</v>
      </c>
      <c r="L110" s="6" t="s">
        <v>90</v>
      </c>
      <c r="M110" s="6" t="s">
        <v>91</v>
      </c>
      <c r="P110" s="52">
        <f t="shared" si="1"/>
        <v>3.4167000000000001</v>
      </c>
    </row>
    <row r="111" spans="8:16" x14ac:dyDescent="0.2">
      <c r="J111" s="2" t="s">
        <v>14</v>
      </c>
      <c r="K111" s="53">
        <v>4</v>
      </c>
      <c r="L111" s="6" t="s">
        <v>90</v>
      </c>
      <c r="M111" s="6" t="s">
        <v>91</v>
      </c>
      <c r="P111" s="52">
        <f t="shared" si="1"/>
        <v>3.4167000000000001</v>
      </c>
    </row>
    <row r="112" spans="8:16" x14ac:dyDescent="0.2">
      <c r="J112" s="2" t="s">
        <v>14</v>
      </c>
      <c r="K112" s="53">
        <v>5</v>
      </c>
      <c r="L112" s="6" t="s">
        <v>90</v>
      </c>
      <c r="M112" s="6" t="s">
        <v>91</v>
      </c>
      <c r="P112" s="52">
        <f t="shared" si="1"/>
        <v>3.4167000000000001</v>
      </c>
    </row>
    <row r="113" spans="10:16" x14ac:dyDescent="0.2">
      <c r="J113" s="2" t="s">
        <v>14</v>
      </c>
      <c r="K113" s="53">
        <v>6</v>
      </c>
      <c r="L113" s="6" t="s">
        <v>91</v>
      </c>
      <c r="M113" s="6" t="s">
        <v>90</v>
      </c>
      <c r="P113" s="52">
        <f t="shared" si="1"/>
        <v>3.4167000000000001</v>
      </c>
    </row>
    <row r="114" spans="10:16" x14ac:dyDescent="0.2">
      <c r="J114" s="2" t="s">
        <v>14</v>
      </c>
      <c r="K114" s="53">
        <v>7</v>
      </c>
      <c r="L114" s="6" t="s">
        <v>91</v>
      </c>
      <c r="M114" s="6" t="s">
        <v>90</v>
      </c>
      <c r="P114" s="52">
        <f t="shared" si="1"/>
        <v>3.4167000000000001</v>
      </c>
    </row>
    <row r="115" spans="10:16" x14ac:dyDescent="0.2">
      <c r="J115" s="2" t="s">
        <v>14</v>
      </c>
      <c r="K115" s="53">
        <v>8</v>
      </c>
      <c r="L115" s="6" t="s">
        <v>91</v>
      </c>
      <c r="M115" s="6" t="s">
        <v>90</v>
      </c>
      <c r="P115" s="52">
        <f t="shared" si="1"/>
        <v>3.4167000000000001</v>
      </c>
    </row>
    <row r="116" spans="10:16" x14ac:dyDescent="0.2">
      <c r="J116" s="2" t="s">
        <v>14</v>
      </c>
      <c r="K116" s="53">
        <v>9</v>
      </c>
      <c r="L116" s="6" t="s">
        <v>91</v>
      </c>
      <c r="M116" s="6" t="s">
        <v>90</v>
      </c>
      <c r="P116" s="52">
        <f t="shared" si="1"/>
        <v>3.4167000000000001</v>
      </c>
    </row>
    <row r="117" spans="10:16" x14ac:dyDescent="0.2">
      <c r="J117" s="2" t="s">
        <v>14</v>
      </c>
      <c r="K117" s="53">
        <v>10</v>
      </c>
      <c r="L117" s="6" t="s">
        <v>91</v>
      </c>
      <c r="M117" s="6" t="s">
        <v>90</v>
      </c>
      <c r="P117" s="52">
        <f t="shared" si="1"/>
        <v>3.4167000000000001</v>
      </c>
    </row>
    <row r="118" spans="10:16" x14ac:dyDescent="0.2">
      <c r="J118" s="2" t="s">
        <v>1</v>
      </c>
      <c r="K118" s="53">
        <v>1</v>
      </c>
      <c r="L118" s="6" t="s">
        <v>90</v>
      </c>
      <c r="M118" s="6" t="s">
        <v>91</v>
      </c>
      <c r="P118" s="52">
        <f>_xlfn.XLOOKUP(J118, A:A, C:C)</f>
        <v>7</v>
      </c>
    </row>
    <row r="119" spans="10:16" x14ac:dyDescent="0.2">
      <c r="J119" s="2" t="s">
        <v>1</v>
      </c>
      <c r="K119" s="53">
        <v>2</v>
      </c>
      <c r="L119" s="6" t="s">
        <v>90</v>
      </c>
      <c r="M119" s="6" t="s">
        <v>91</v>
      </c>
      <c r="P119" s="52">
        <f>_xlfn.XLOOKUP(J119, A:A, C:C)</f>
        <v>7</v>
      </c>
    </row>
    <row r="120" spans="10:16" x14ac:dyDescent="0.2">
      <c r="J120" s="2" t="s">
        <v>1</v>
      </c>
      <c r="K120" s="53">
        <v>3</v>
      </c>
      <c r="L120" s="6" t="s">
        <v>90</v>
      </c>
      <c r="M120" s="6" t="s">
        <v>91</v>
      </c>
      <c r="P120" s="52">
        <f>_xlfn.XLOOKUP(J120, A:A, C:C)</f>
        <v>7</v>
      </c>
    </row>
    <row r="121" spans="10:16" x14ac:dyDescent="0.2">
      <c r="J121" s="2" t="s">
        <v>1</v>
      </c>
      <c r="K121" s="53">
        <v>4</v>
      </c>
      <c r="L121" s="6" t="s">
        <v>90</v>
      </c>
      <c r="M121" s="6" t="s">
        <v>91</v>
      </c>
      <c r="P121" s="52">
        <f>_xlfn.XLOOKUP(J121, A:A, C:C)</f>
        <v>7</v>
      </c>
    </row>
    <row r="122" spans="10:16" x14ac:dyDescent="0.2">
      <c r="J122" s="2" t="s">
        <v>1</v>
      </c>
      <c r="K122" s="53">
        <v>5</v>
      </c>
      <c r="L122" s="6" t="s">
        <v>90</v>
      </c>
      <c r="M122" s="6" t="s">
        <v>91</v>
      </c>
      <c r="P122" s="52">
        <f>_xlfn.XLOOKUP(J122, A:A, C:C)</f>
        <v>7</v>
      </c>
    </row>
    <row r="123" spans="10:16" x14ac:dyDescent="0.2">
      <c r="J123" s="2" t="s">
        <v>1</v>
      </c>
      <c r="K123" s="53">
        <v>6</v>
      </c>
      <c r="L123" s="6" t="s">
        <v>90</v>
      </c>
      <c r="M123" s="6" t="s">
        <v>91</v>
      </c>
      <c r="P123" s="52">
        <f>_xlfn.XLOOKUP(J123, A:A, C:C)</f>
        <v>7</v>
      </c>
    </row>
    <row r="124" spans="10:16" x14ac:dyDescent="0.2">
      <c r="J124" s="2" t="s">
        <v>1</v>
      </c>
      <c r="K124" s="53">
        <v>7</v>
      </c>
      <c r="L124" s="6" t="s">
        <v>90</v>
      </c>
      <c r="M124" s="6" t="s">
        <v>91</v>
      </c>
      <c r="P124" s="52">
        <f>_xlfn.XLOOKUP(J124, A:A, C:C)</f>
        <v>7</v>
      </c>
    </row>
    <row r="125" spans="10:16" x14ac:dyDescent="0.2">
      <c r="J125" s="2" t="s">
        <v>1</v>
      </c>
      <c r="K125" s="53">
        <v>8</v>
      </c>
      <c r="L125" s="6" t="s">
        <v>90</v>
      </c>
      <c r="M125" s="6" t="s">
        <v>91</v>
      </c>
      <c r="P125" s="52">
        <f>_xlfn.XLOOKUP(J125, A:A, C:C)</f>
        <v>7</v>
      </c>
    </row>
    <row r="126" spans="10:16" x14ac:dyDescent="0.2">
      <c r="J126" s="2" t="s">
        <v>1</v>
      </c>
      <c r="K126" s="53">
        <v>9</v>
      </c>
      <c r="L126" s="6" t="s">
        <v>90</v>
      </c>
      <c r="M126" s="6" t="s">
        <v>91</v>
      </c>
      <c r="P126" s="52">
        <f>_xlfn.XLOOKUP(J126, A:A, C:C)</f>
        <v>7</v>
      </c>
    </row>
    <row r="127" spans="10:16" x14ac:dyDescent="0.2">
      <c r="J127" s="2" t="s">
        <v>1</v>
      </c>
      <c r="K127" s="53">
        <v>10</v>
      </c>
      <c r="L127" s="6" t="s">
        <v>90</v>
      </c>
      <c r="M127" s="6" t="s">
        <v>91</v>
      </c>
      <c r="P127" s="52">
        <f>_xlfn.XLOOKUP(J127, A:A, C:C)</f>
        <v>7</v>
      </c>
    </row>
    <row r="128" spans="10:16" x14ac:dyDescent="0.2">
      <c r="J128" s="2" t="s">
        <v>1</v>
      </c>
      <c r="K128" s="53">
        <v>11</v>
      </c>
      <c r="L128" s="6" t="s">
        <v>90</v>
      </c>
      <c r="M128" s="6" t="s">
        <v>91</v>
      </c>
      <c r="P128" s="52">
        <f>_xlfn.XLOOKUP(J128, A:A, C:C)</f>
        <v>7</v>
      </c>
    </row>
    <row r="129" spans="10:16" x14ac:dyDescent="0.2">
      <c r="J129" s="2" t="s">
        <v>1</v>
      </c>
      <c r="K129" s="53">
        <v>12</v>
      </c>
      <c r="L129" s="6" t="s">
        <v>90</v>
      </c>
      <c r="M129" s="6" t="s">
        <v>91</v>
      </c>
      <c r="P129" s="52">
        <f>_xlfn.XLOOKUP(J129, A:A, C:C)</f>
        <v>7</v>
      </c>
    </row>
    <row r="130" spans="10:16" x14ac:dyDescent="0.2">
      <c r="J130" s="2" t="s">
        <v>1</v>
      </c>
      <c r="K130" s="53">
        <v>13</v>
      </c>
      <c r="L130" s="6" t="s">
        <v>90</v>
      </c>
      <c r="M130" s="6" t="s">
        <v>91</v>
      </c>
      <c r="P130" s="52">
        <f>_xlfn.XLOOKUP(J130, A:A, C:C)</f>
        <v>7</v>
      </c>
    </row>
    <row r="131" spans="10:16" x14ac:dyDescent="0.2">
      <c r="J131" s="2" t="s">
        <v>1</v>
      </c>
      <c r="K131" s="53">
        <v>14</v>
      </c>
      <c r="L131" s="6" t="s">
        <v>90</v>
      </c>
      <c r="M131" s="6" t="s">
        <v>91</v>
      </c>
      <c r="P131" s="52">
        <f>_xlfn.XLOOKUP(J131, A:A, C:C)</f>
        <v>7</v>
      </c>
    </row>
    <row r="132" spans="10:16" x14ac:dyDescent="0.2">
      <c r="J132" s="2" t="s">
        <v>1</v>
      </c>
      <c r="K132" s="53">
        <v>15</v>
      </c>
      <c r="L132" s="6" t="s">
        <v>90</v>
      </c>
      <c r="M132" s="6" t="s">
        <v>91</v>
      </c>
      <c r="P132" s="52">
        <f>_xlfn.XLOOKUP(J132, A:A, C:C)</f>
        <v>7</v>
      </c>
    </row>
    <row r="133" spans="10:16" x14ac:dyDescent="0.2">
      <c r="J133" s="2" t="s">
        <v>1</v>
      </c>
      <c r="K133" s="53">
        <v>16</v>
      </c>
      <c r="L133" s="6" t="s">
        <v>91</v>
      </c>
      <c r="M133" s="6" t="s">
        <v>90</v>
      </c>
      <c r="P133" s="52">
        <f>_xlfn.XLOOKUP(J133, A:A, C:C)</f>
        <v>7</v>
      </c>
    </row>
    <row r="134" spans="10:16" x14ac:dyDescent="0.2">
      <c r="J134" s="2" t="s">
        <v>1</v>
      </c>
      <c r="K134" s="53">
        <v>17</v>
      </c>
      <c r="L134" s="6" t="s">
        <v>91</v>
      </c>
      <c r="M134" s="6" t="s">
        <v>90</v>
      </c>
      <c r="P134" s="52">
        <f>_xlfn.XLOOKUP(J134, A:A, C:C)</f>
        <v>7</v>
      </c>
    </row>
    <row r="135" spans="10:16" x14ac:dyDescent="0.2">
      <c r="J135" s="2" t="s">
        <v>1</v>
      </c>
      <c r="K135" s="53">
        <v>18</v>
      </c>
      <c r="L135" s="6" t="s">
        <v>91</v>
      </c>
      <c r="M135" s="6" t="s">
        <v>90</v>
      </c>
      <c r="P135" s="52">
        <f>_xlfn.XLOOKUP(J135, A:A, C:C)</f>
        <v>7</v>
      </c>
    </row>
    <row r="136" spans="10:16" x14ac:dyDescent="0.2">
      <c r="J136" s="2" t="s">
        <v>1</v>
      </c>
      <c r="K136" s="53">
        <v>19</v>
      </c>
      <c r="L136" s="6" t="s">
        <v>91</v>
      </c>
      <c r="M136" s="6" t="s">
        <v>90</v>
      </c>
      <c r="P136" s="52">
        <f>_xlfn.XLOOKUP(J136, A:A, C:C)</f>
        <v>7</v>
      </c>
    </row>
    <row r="137" spans="10:16" x14ac:dyDescent="0.2">
      <c r="J137" s="2" t="s">
        <v>1</v>
      </c>
      <c r="K137" s="53">
        <v>20</v>
      </c>
      <c r="L137" s="6" t="s">
        <v>91</v>
      </c>
      <c r="M137" s="6" t="s">
        <v>90</v>
      </c>
      <c r="P137" s="52">
        <f>_xlfn.XLOOKUP(J137, A:A, C:C)</f>
        <v>7</v>
      </c>
    </row>
    <row r="138" spans="10:16" x14ac:dyDescent="0.2">
      <c r="J138" s="2" t="s">
        <v>1</v>
      </c>
      <c r="K138" s="53">
        <v>21</v>
      </c>
      <c r="L138" s="6" t="s">
        <v>91</v>
      </c>
      <c r="M138" s="6" t="s">
        <v>90</v>
      </c>
      <c r="P138" s="52">
        <f>_xlfn.XLOOKUP(J138, A:A, C:C)</f>
        <v>7</v>
      </c>
    </row>
    <row r="139" spans="10:16" x14ac:dyDescent="0.2">
      <c r="J139" s="2" t="s">
        <v>1</v>
      </c>
      <c r="K139" s="53">
        <v>22</v>
      </c>
      <c r="L139" s="6" t="s">
        <v>91</v>
      </c>
      <c r="M139" s="6" t="s">
        <v>90</v>
      </c>
      <c r="P139" s="52">
        <f>_xlfn.XLOOKUP(J139, A:A, C:C)</f>
        <v>7</v>
      </c>
    </row>
    <row r="140" spans="10:16" x14ac:dyDescent="0.2">
      <c r="J140" s="2" t="s">
        <v>1</v>
      </c>
      <c r="K140" s="53">
        <v>23</v>
      </c>
      <c r="L140" s="6" t="s">
        <v>91</v>
      </c>
      <c r="M140" s="6" t="s">
        <v>90</v>
      </c>
      <c r="P140" s="52">
        <f>_xlfn.XLOOKUP(J140, A:A, C:C)</f>
        <v>7</v>
      </c>
    </row>
    <row r="141" spans="10:16" x14ac:dyDescent="0.2">
      <c r="J141" s="2" t="s">
        <v>1</v>
      </c>
      <c r="K141" s="53">
        <v>24</v>
      </c>
      <c r="L141" s="6" t="s">
        <v>91</v>
      </c>
      <c r="M141" s="6" t="s">
        <v>90</v>
      </c>
      <c r="P141" s="52">
        <f>_xlfn.XLOOKUP(J141, A:A, C:C)</f>
        <v>7</v>
      </c>
    </row>
    <row r="142" spans="10:16" x14ac:dyDescent="0.2">
      <c r="J142" s="2" t="s">
        <v>1</v>
      </c>
      <c r="K142" s="53">
        <v>25</v>
      </c>
      <c r="L142" s="6" t="s">
        <v>91</v>
      </c>
      <c r="M142" s="6" t="s">
        <v>90</v>
      </c>
      <c r="P142" s="52">
        <f>_xlfn.XLOOKUP(J142, A:A, C:C)</f>
        <v>7</v>
      </c>
    </row>
    <row r="143" spans="10:16" x14ac:dyDescent="0.2">
      <c r="J143" s="2" t="s">
        <v>1</v>
      </c>
      <c r="K143" s="53">
        <v>26</v>
      </c>
      <c r="L143" s="6" t="s">
        <v>91</v>
      </c>
      <c r="M143" s="6" t="s">
        <v>90</v>
      </c>
      <c r="P143" s="52">
        <f>_xlfn.XLOOKUP(J143, A:A, C:C)</f>
        <v>7</v>
      </c>
    </row>
    <row r="144" spans="10:16" x14ac:dyDescent="0.2">
      <c r="J144" s="2" t="s">
        <v>1</v>
      </c>
      <c r="K144" s="53">
        <v>27</v>
      </c>
      <c r="L144" s="6" t="s">
        <v>91</v>
      </c>
      <c r="M144" s="6" t="s">
        <v>90</v>
      </c>
      <c r="P144" s="52">
        <f>_xlfn.XLOOKUP(J144, A:A, C:C)</f>
        <v>7</v>
      </c>
    </row>
    <row r="145" spans="10:16" x14ac:dyDescent="0.2">
      <c r="J145" s="2" t="s">
        <v>1</v>
      </c>
      <c r="K145" s="53">
        <v>28</v>
      </c>
      <c r="L145" s="6" t="s">
        <v>91</v>
      </c>
      <c r="M145" s="6" t="s">
        <v>90</v>
      </c>
      <c r="P145" s="52">
        <f>_xlfn.XLOOKUP(J145, A:A, C:C)</f>
        <v>7</v>
      </c>
    </row>
    <row r="146" spans="10:16" x14ac:dyDescent="0.2">
      <c r="J146" s="2" t="s">
        <v>1</v>
      </c>
      <c r="K146" s="53">
        <v>29</v>
      </c>
      <c r="L146" s="6" t="s">
        <v>91</v>
      </c>
      <c r="M146" s="6" t="s">
        <v>90</v>
      </c>
      <c r="P146" s="52">
        <f>_xlfn.XLOOKUP(J146, A:A, C:C)</f>
        <v>7</v>
      </c>
    </row>
    <row r="147" spans="10:16" x14ac:dyDescent="0.2">
      <c r="J147" s="2" t="s">
        <v>1</v>
      </c>
      <c r="K147" s="53">
        <v>30</v>
      </c>
      <c r="L147" s="6" t="s">
        <v>91</v>
      </c>
      <c r="M147" s="6" t="s">
        <v>90</v>
      </c>
      <c r="P147" s="52">
        <f>_xlfn.XLOOKUP(J147, A:A, C:C)</f>
        <v>7</v>
      </c>
    </row>
    <row r="148" spans="10:16" x14ac:dyDescent="0.2">
      <c r="J148" s="43" t="s">
        <v>7</v>
      </c>
      <c r="K148" s="53">
        <v>1</v>
      </c>
      <c r="L148" s="6" t="s">
        <v>90</v>
      </c>
      <c r="M148" s="6" t="s">
        <v>91</v>
      </c>
      <c r="P148" s="52">
        <f>_xlfn.XLOOKUP(J148, A:A, C:C)</f>
        <v>3.25</v>
      </c>
    </row>
    <row r="149" spans="10:16" x14ac:dyDescent="0.2">
      <c r="J149" s="43" t="s">
        <v>7</v>
      </c>
      <c r="K149" s="53">
        <v>2</v>
      </c>
      <c r="L149" s="6" t="s">
        <v>90</v>
      </c>
      <c r="M149" s="6" t="s">
        <v>91</v>
      </c>
      <c r="P149" s="52">
        <f t="shared" ref="P149:P212" si="2">_xlfn.XLOOKUP(J149, A:A, C:C)</f>
        <v>3.25</v>
      </c>
    </row>
    <row r="150" spans="10:16" x14ac:dyDescent="0.2">
      <c r="J150" s="43" t="s">
        <v>7</v>
      </c>
      <c r="K150" s="53">
        <v>3</v>
      </c>
      <c r="L150" s="6" t="s">
        <v>90</v>
      </c>
      <c r="M150" s="6" t="s">
        <v>91</v>
      </c>
      <c r="P150" s="52">
        <f t="shared" si="2"/>
        <v>3.25</v>
      </c>
    </row>
    <row r="151" spans="10:16" x14ac:dyDescent="0.2">
      <c r="J151" s="43" t="s">
        <v>7</v>
      </c>
      <c r="K151" s="53">
        <v>4</v>
      </c>
      <c r="L151" s="6" t="s">
        <v>90</v>
      </c>
      <c r="M151" s="6" t="s">
        <v>91</v>
      </c>
      <c r="P151" s="52">
        <f t="shared" si="2"/>
        <v>3.25</v>
      </c>
    </row>
    <row r="152" spans="10:16" x14ac:dyDescent="0.2">
      <c r="J152" s="43" t="s">
        <v>7</v>
      </c>
      <c r="K152" s="53">
        <v>5</v>
      </c>
      <c r="L152" s="6" t="s">
        <v>90</v>
      </c>
      <c r="M152" s="6" t="s">
        <v>91</v>
      </c>
      <c r="P152" s="52">
        <f t="shared" si="2"/>
        <v>3.25</v>
      </c>
    </row>
    <row r="153" spans="10:16" x14ac:dyDescent="0.2">
      <c r="J153" s="43" t="s">
        <v>7</v>
      </c>
      <c r="K153" s="53">
        <v>6</v>
      </c>
      <c r="L153" s="6" t="s">
        <v>90</v>
      </c>
      <c r="M153" s="6" t="s">
        <v>91</v>
      </c>
      <c r="P153" s="52">
        <f t="shared" si="2"/>
        <v>3.25</v>
      </c>
    </row>
    <row r="154" spans="10:16" x14ac:dyDescent="0.2">
      <c r="J154" s="43" t="s">
        <v>7</v>
      </c>
      <c r="K154" s="53">
        <v>7</v>
      </c>
      <c r="L154" s="6" t="s">
        <v>90</v>
      </c>
      <c r="M154" s="6" t="s">
        <v>91</v>
      </c>
      <c r="P154" s="52">
        <f t="shared" si="2"/>
        <v>3.25</v>
      </c>
    </row>
    <row r="155" spans="10:16" x14ac:dyDescent="0.2">
      <c r="J155" s="43" t="s">
        <v>7</v>
      </c>
      <c r="K155" s="53">
        <v>8</v>
      </c>
      <c r="L155" s="6" t="s">
        <v>90</v>
      </c>
      <c r="M155" s="6" t="s">
        <v>91</v>
      </c>
      <c r="P155" s="52">
        <f t="shared" si="2"/>
        <v>3.25</v>
      </c>
    </row>
    <row r="156" spans="10:16" x14ac:dyDescent="0.2">
      <c r="J156" s="43" t="s">
        <v>7</v>
      </c>
      <c r="K156" s="53">
        <v>9</v>
      </c>
      <c r="L156" s="6" t="s">
        <v>90</v>
      </c>
      <c r="M156" s="6" t="s">
        <v>91</v>
      </c>
      <c r="P156" s="52">
        <f t="shared" si="2"/>
        <v>3.25</v>
      </c>
    </row>
    <row r="157" spans="10:16" x14ac:dyDescent="0.2">
      <c r="J157" s="43" t="s">
        <v>7</v>
      </c>
      <c r="K157" s="53">
        <v>10</v>
      </c>
      <c r="L157" s="6" t="s">
        <v>90</v>
      </c>
      <c r="M157" s="6" t="s">
        <v>91</v>
      </c>
      <c r="P157" s="52">
        <f t="shared" si="2"/>
        <v>3.25</v>
      </c>
    </row>
    <row r="158" spans="10:16" x14ac:dyDescent="0.2">
      <c r="J158" s="43" t="s">
        <v>7</v>
      </c>
      <c r="K158" s="53">
        <v>11</v>
      </c>
      <c r="L158" s="6" t="s">
        <v>90</v>
      </c>
      <c r="M158" s="6" t="s">
        <v>91</v>
      </c>
      <c r="P158" s="52">
        <f t="shared" si="2"/>
        <v>3.25</v>
      </c>
    </row>
    <row r="159" spans="10:16" x14ac:dyDescent="0.2">
      <c r="J159" s="43" t="s">
        <v>7</v>
      </c>
      <c r="K159" s="53">
        <v>12</v>
      </c>
      <c r="L159" s="6" t="s">
        <v>90</v>
      </c>
      <c r="M159" s="6" t="s">
        <v>91</v>
      </c>
      <c r="P159" s="52">
        <f t="shared" si="2"/>
        <v>3.25</v>
      </c>
    </row>
    <row r="160" spans="10:16" x14ac:dyDescent="0.2">
      <c r="J160" s="43" t="s">
        <v>7</v>
      </c>
      <c r="K160" s="53">
        <v>13</v>
      </c>
      <c r="L160" s="6" t="s">
        <v>90</v>
      </c>
      <c r="M160" s="6" t="s">
        <v>91</v>
      </c>
      <c r="P160" s="52">
        <f t="shared" si="2"/>
        <v>3.25</v>
      </c>
    </row>
    <row r="161" spans="10:16" x14ac:dyDescent="0.2">
      <c r="J161" s="43" t="s">
        <v>7</v>
      </c>
      <c r="K161" s="53">
        <v>14</v>
      </c>
      <c r="L161" s="6" t="s">
        <v>90</v>
      </c>
      <c r="M161" s="6" t="s">
        <v>91</v>
      </c>
      <c r="P161" s="52">
        <f t="shared" si="2"/>
        <v>3.25</v>
      </c>
    </row>
    <row r="162" spans="10:16" x14ac:dyDescent="0.2">
      <c r="J162" s="43" t="s">
        <v>7</v>
      </c>
      <c r="K162" s="53">
        <v>15</v>
      </c>
      <c r="L162" s="6" t="s">
        <v>90</v>
      </c>
      <c r="M162" s="6" t="s">
        <v>91</v>
      </c>
      <c r="P162" s="52">
        <f t="shared" si="2"/>
        <v>3.25</v>
      </c>
    </row>
    <row r="163" spans="10:16" x14ac:dyDescent="0.2">
      <c r="J163" s="43" t="s">
        <v>7</v>
      </c>
      <c r="K163" s="53">
        <v>16</v>
      </c>
      <c r="L163" s="6" t="s">
        <v>91</v>
      </c>
      <c r="M163" s="6" t="s">
        <v>90</v>
      </c>
      <c r="P163" s="52">
        <f t="shared" si="2"/>
        <v>3.25</v>
      </c>
    </row>
    <row r="164" spans="10:16" x14ac:dyDescent="0.2">
      <c r="J164" s="43" t="s">
        <v>7</v>
      </c>
      <c r="K164" s="53">
        <v>17</v>
      </c>
      <c r="L164" s="6" t="s">
        <v>91</v>
      </c>
      <c r="M164" s="6" t="s">
        <v>90</v>
      </c>
      <c r="P164" s="52">
        <f t="shared" si="2"/>
        <v>3.25</v>
      </c>
    </row>
    <row r="165" spans="10:16" x14ac:dyDescent="0.2">
      <c r="J165" s="43" t="s">
        <v>7</v>
      </c>
      <c r="K165" s="53">
        <v>18</v>
      </c>
      <c r="L165" s="6" t="s">
        <v>91</v>
      </c>
      <c r="M165" s="6" t="s">
        <v>90</v>
      </c>
      <c r="P165" s="52">
        <f t="shared" si="2"/>
        <v>3.25</v>
      </c>
    </row>
    <row r="166" spans="10:16" x14ac:dyDescent="0.2">
      <c r="J166" s="43" t="s">
        <v>7</v>
      </c>
      <c r="K166" s="53">
        <v>19</v>
      </c>
      <c r="L166" s="6" t="s">
        <v>91</v>
      </c>
      <c r="M166" s="6" t="s">
        <v>90</v>
      </c>
      <c r="P166" s="52">
        <f t="shared" si="2"/>
        <v>3.25</v>
      </c>
    </row>
    <row r="167" spans="10:16" x14ac:dyDescent="0.2">
      <c r="J167" s="43" t="s">
        <v>7</v>
      </c>
      <c r="K167" s="53">
        <v>20</v>
      </c>
      <c r="L167" s="6" t="s">
        <v>91</v>
      </c>
      <c r="M167" s="6" t="s">
        <v>90</v>
      </c>
      <c r="P167" s="52">
        <f t="shared" si="2"/>
        <v>3.25</v>
      </c>
    </row>
    <row r="168" spans="10:16" x14ac:dyDescent="0.2">
      <c r="J168" s="43" t="s">
        <v>7</v>
      </c>
      <c r="K168" s="53">
        <v>21</v>
      </c>
      <c r="L168" s="6" t="s">
        <v>91</v>
      </c>
      <c r="M168" s="6" t="s">
        <v>90</v>
      </c>
      <c r="P168" s="52">
        <f t="shared" si="2"/>
        <v>3.25</v>
      </c>
    </row>
    <row r="169" spans="10:16" x14ac:dyDescent="0.2">
      <c r="J169" s="43" t="s">
        <v>7</v>
      </c>
      <c r="K169" s="53">
        <v>22</v>
      </c>
      <c r="L169" s="6" t="s">
        <v>91</v>
      </c>
      <c r="M169" s="6" t="s">
        <v>90</v>
      </c>
      <c r="P169" s="52">
        <f t="shared" si="2"/>
        <v>3.25</v>
      </c>
    </row>
    <row r="170" spans="10:16" x14ac:dyDescent="0.2">
      <c r="J170" s="43" t="s">
        <v>7</v>
      </c>
      <c r="K170" s="53">
        <v>23</v>
      </c>
      <c r="L170" s="6" t="s">
        <v>91</v>
      </c>
      <c r="M170" s="6" t="s">
        <v>90</v>
      </c>
      <c r="P170" s="52">
        <f t="shared" si="2"/>
        <v>3.25</v>
      </c>
    </row>
    <row r="171" spans="10:16" x14ac:dyDescent="0.2">
      <c r="J171" s="43" t="s">
        <v>7</v>
      </c>
      <c r="K171" s="53">
        <v>24</v>
      </c>
      <c r="L171" s="6" t="s">
        <v>91</v>
      </c>
      <c r="M171" s="6" t="s">
        <v>90</v>
      </c>
      <c r="P171" s="52">
        <f t="shared" si="2"/>
        <v>3.25</v>
      </c>
    </row>
    <row r="172" spans="10:16" x14ac:dyDescent="0.2">
      <c r="J172" s="43" t="s">
        <v>7</v>
      </c>
      <c r="K172" s="53">
        <v>25</v>
      </c>
      <c r="L172" s="6" t="s">
        <v>91</v>
      </c>
      <c r="M172" s="6" t="s">
        <v>90</v>
      </c>
      <c r="P172" s="52">
        <f t="shared" si="2"/>
        <v>3.25</v>
      </c>
    </row>
    <row r="173" spans="10:16" x14ac:dyDescent="0.2">
      <c r="J173" s="43" t="s">
        <v>7</v>
      </c>
      <c r="K173" s="53">
        <v>26</v>
      </c>
      <c r="L173" s="6" t="s">
        <v>91</v>
      </c>
      <c r="M173" s="6" t="s">
        <v>90</v>
      </c>
      <c r="P173" s="52">
        <f t="shared" si="2"/>
        <v>3.25</v>
      </c>
    </row>
    <row r="174" spans="10:16" x14ac:dyDescent="0.2">
      <c r="J174" s="43" t="s">
        <v>7</v>
      </c>
      <c r="K174" s="53">
        <v>27</v>
      </c>
      <c r="L174" s="6" t="s">
        <v>91</v>
      </c>
      <c r="M174" s="6" t="s">
        <v>90</v>
      </c>
      <c r="P174" s="52">
        <f t="shared" si="2"/>
        <v>3.25</v>
      </c>
    </row>
    <row r="175" spans="10:16" x14ac:dyDescent="0.2">
      <c r="J175" s="43" t="s">
        <v>7</v>
      </c>
      <c r="K175" s="53">
        <v>28</v>
      </c>
      <c r="L175" s="6" t="s">
        <v>91</v>
      </c>
      <c r="M175" s="6" t="s">
        <v>90</v>
      </c>
      <c r="P175" s="52">
        <f t="shared" si="2"/>
        <v>3.25</v>
      </c>
    </row>
    <row r="176" spans="10:16" x14ac:dyDescent="0.2">
      <c r="J176" s="43" t="s">
        <v>7</v>
      </c>
      <c r="K176" s="53">
        <v>29</v>
      </c>
      <c r="L176" s="6" t="s">
        <v>91</v>
      </c>
      <c r="M176" s="6" t="s">
        <v>90</v>
      </c>
      <c r="P176" s="52">
        <f t="shared" si="2"/>
        <v>3.25</v>
      </c>
    </row>
    <row r="177" spans="10:16" x14ac:dyDescent="0.2">
      <c r="J177" s="43" t="s">
        <v>7</v>
      </c>
      <c r="K177" s="53">
        <v>30</v>
      </c>
      <c r="L177" s="6" t="s">
        <v>91</v>
      </c>
      <c r="M177" s="6" t="s">
        <v>90</v>
      </c>
      <c r="P177" s="52">
        <f t="shared" si="2"/>
        <v>3.25</v>
      </c>
    </row>
    <row r="178" spans="10:16" x14ac:dyDescent="0.2">
      <c r="J178" s="43" t="s">
        <v>20</v>
      </c>
      <c r="K178" s="53">
        <v>1</v>
      </c>
      <c r="L178" s="6" t="s">
        <v>90</v>
      </c>
      <c r="M178" s="6" t="s">
        <v>91</v>
      </c>
      <c r="P178" s="52">
        <f t="shared" si="2"/>
        <v>1.4</v>
      </c>
    </row>
    <row r="179" spans="10:16" x14ac:dyDescent="0.2">
      <c r="J179" s="43" t="s">
        <v>20</v>
      </c>
      <c r="K179" s="53">
        <v>2</v>
      </c>
      <c r="L179" s="6" t="s">
        <v>90</v>
      </c>
      <c r="M179" s="6" t="s">
        <v>91</v>
      </c>
      <c r="P179" s="52">
        <f t="shared" si="2"/>
        <v>1.4</v>
      </c>
    </row>
    <row r="180" spans="10:16" x14ac:dyDescent="0.2">
      <c r="J180" s="43" t="s">
        <v>20</v>
      </c>
      <c r="K180" s="53">
        <v>3</v>
      </c>
      <c r="L180" s="6" t="s">
        <v>90</v>
      </c>
      <c r="M180" s="6" t="s">
        <v>91</v>
      </c>
      <c r="P180" s="52">
        <f t="shared" si="2"/>
        <v>1.4</v>
      </c>
    </row>
    <row r="181" spans="10:16" x14ac:dyDescent="0.2">
      <c r="J181" s="43" t="s">
        <v>20</v>
      </c>
      <c r="K181" s="53">
        <v>4</v>
      </c>
      <c r="L181" s="6" t="s">
        <v>90</v>
      </c>
      <c r="M181" s="6" t="s">
        <v>91</v>
      </c>
      <c r="P181" s="52">
        <f t="shared" si="2"/>
        <v>1.4</v>
      </c>
    </row>
    <row r="182" spans="10:16" x14ac:dyDescent="0.2">
      <c r="J182" s="43" t="s">
        <v>20</v>
      </c>
      <c r="K182" s="53">
        <v>5</v>
      </c>
      <c r="L182" s="6" t="s">
        <v>90</v>
      </c>
      <c r="M182" s="6" t="s">
        <v>91</v>
      </c>
      <c r="P182" s="52">
        <f t="shared" si="2"/>
        <v>1.4</v>
      </c>
    </row>
    <row r="183" spans="10:16" x14ac:dyDescent="0.2">
      <c r="J183" s="43" t="s">
        <v>20</v>
      </c>
      <c r="K183" s="53">
        <v>6</v>
      </c>
      <c r="L183" s="6" t="s">
        <v>90</v>
      </c>
      <c r="M183" s="6" t="s">
        <v>91</v>
      </c>
      <c r="P183" s="52">
        <f t="shared" si="2"/>
        <v>1.4</v>
      </c>
    </row>
    <row r="184" spans="10:16" x14ac:dyDescent="0.2">
      <c r="J184" s="43" t="s">
        <v>20</v>
      </c>
      <c r="K184" s="53">
        <v>7</v>
      </c>
      <c r="L184" s="6" t="s">
        <v>90</v>
      </c>
      <c r="M184" s="6" t="s">
        <v>91</v>
      </c>
      <c r="P184" s="52">
        <f t="shared" si="2"/>
        <v>1.4</v>
      </c>
    </row>
    <row r="185" spans="10:16" x14ac:dyDescent="0.2">
      <c r="J185" s="43" t="s">
        <v>20</v>
      </c>
      <c r="K185" s="53">
        <v>8</v>
      </c>
      <c r="L185" s="6" t="s">
        <v>91</v>
      </c>
      <c r="M185" s="6" t="s">
        <v>90</v>
      </c>
      <c r="P185" s="52">
        <f t="shared" si="2"/>
        <v>1.4</v>
      </c>
    </row>
    <row r="186" spans="10:16" x14ac:dyDescent="0.2">
      <c r="J186" s="43" t="s">
        <v>20</v>
      </c>
      <c r="K186" s="53">
        <v>9</v>
      </c>
      <c r="L186" s="6" t="s">
        <v>91</v>
      </c>
      <c r="M186" s="6" t="s">
        <v>90</v>
      </c>
      <c r="P186" s="52">
        <f t="shared" si="2"/>
        <v>1.4</v>
      </c>
    </row>
    <row r="187" spans="10:16" x14ac:dyDescent="0.2">
      <c r="J187" s="43" t="s">
        <v>20</v>
      </c>
      <c r="K187" s="53">
        <v>10</v>
      </c>
      <c r="L187" s="6" t="s">
        <v>91</v>
      </c>
      <c r="M187" s="6" t="s">
        <v>90</v>
      </c>
      <c r="P187" s="52">
        <f t="shared" si="2"/>
        <v>1.4</v>
      </c>
    </row>
    <row r="188" spans="10:16" x14ac:dyDescent="0.2">
      <c r="J188" s="43" t="s">
        <v>20</v>
      </c>
      <c r="K188" s="53">
        <v>11</v>
      </c>
      <c r="L188" s="6" t="s">
        <v>91</v>
      </c>
      <c r="M188" s="6" t="s">
        <v>90</v>
      </c>
      <c r="P188" s="52">
        <f t="shared" si="2"/>
        <v>1.4</v>
      </c>
    </row>
    <row r="189" spans="10:16" x14ac:dyDescent="0.2">
      <c r="J189" s="43" t="s">
        <v>20</v>
      </c>
      <c r="K189" s="53">
        <v>12</v>
      </c>
      <c r="L189" s="6" t="s">
        <v>91</v>
      </c>
      <c r="M189" s="6" t="s">
        <v>90</v>
      </c>
      <c r="P189" s="52">
        <f t="shared" si="2"/>
        <v>1.4</v>
      </c>
    </row>
    <row r="190" spans="10:16" x14ac:dyDescent="0.2">
      <c r="J190" s="43" t="s">
        <v>20</v>
      </c>
      <c r="K190" s="53">
        <v>13</v>
      </c>
      <c r="L190" s="6" t="s">
        <v>91</v>
      </c>
      <c r="M190" s="6" t="s">
        <v>90</v>
      </c>
      <c r="P190" s="52">
        <f t="shared" si="2"/>
        <v>1.4</v>
      </c>
    </row>
    <row r="191" spans="10:16" x14ac:dyDescent="0.2">
      <c r="J191" s="43" t="s">
        <v>20</v>
      </c>
      <c r="K191" s="53">
        <v>14</v>
      </c>
      <c r="L191" s="6" t="s">
        <v>91</v>
      </c>
      <c r="M191" s="6" t="s">
        <v>90</v>
      </c>
      <c r="P191" s="52">
        <f t="shared" si="2"/>
        <v>1.4</v>
      </c>
    </row>
    <row r="192" spans="10:16" x14ac:dyDescent="0.2">
      <c r="J192" s="43" t="s">
        <v>19</v>
      </c>
      <c r="K192" s="53">
        <v>1</v>
      </c>
      <c r="L192" s="6" t="s">
        <v>90</v>
      </c>
      <c r="M192" s="6" t="s">
        <v>91</v>
      </c>
      <c r="P192" s="52">
        <f t="shared" si="2"/>
        <v>6.25</v>
      </c>
    </row>
    <row r="193" spans="10:16" x14ac:dyDescent="0.2">
      <c r="J193" s="43" t="s">
        <v>19</v>
      </c>
      <c r="K193" s="53">
        <v>2</v>
      </c>
      <c r="L193" s="6" t="s">
        <v>90</v>
      </c>
      <c r="M193" s="6" t="s">
        <v>91</v>
      </c>
      <c r="P193" s="52">
        <f t="shared" si="2"/>
        <v>6.25</v>
      </c>
    </row>
    <row r="194" spans="10:16" x14ac:dyDescent="0.2">
      <c r="J194" s="43" t="s">
        <v>19</v>
      </c>
      <c r="K194" s="53">
        <v>3</v>
      </c>
      <c r="L194" s="6" t="s">
        <v>90</v>
      </c>
      <c r="M194" s="6" t="s">
        <v>91</v>
      </c>
      <c r="P194" s="52">
        <f t="shared" si="2"/>
        <v>6.25</v>
      </c>
    </row>
    <row r="195" spans="10:16" x14ac:dyDescent="0.2">
      <c r="J195" s="43" t="s">
        <v>19</v>
      </c>
      <c r="K195" s="53">
        <v>4</v>
      </c>
      <c r="L195" s="6" t="s">
        <v>90</v>
      </c>
      <c r="M195" s="6" t="s">
        <v>91</v>
      </c>
      <c r="P195" s="52">
        <f t="shared" si="2"/>
        <v>6.25</v>
      </c>
    </row>
    <row r="196" spans="10:16" x14ac:dyDescent="0.2">
      <c r="J196" s="43" t="s">
        <v>19</v>
      </c>
      <c r="K196" s="53">
        <v>5</v>
      </c>
      <c r="L196" s="6" t="s">
        <v>90</v>
      </c>
      <c r="M196" s="6" t="s">
        <v>91</v>
      </c>
      <c r="P196" s="52">
        <f t="shared" si="2"/>
        <v>6.25</v>
      </c>
    </row>
    <row r="197" spans="10:16" x14ac:dyDescent="0.2">
      <c r="J197" s="43" t="s">
        <v>19</v>
      </c>
      <c r="K197" s="53">
        <v>6</v>
      </c>
      <c r="L197" s="6" t="s">
        <v>90</v>
      </c>
      <c r="M197" s="6" t="s">
        <v>91</v>
      </c>
      <c r="P197" s="52">
        <f t="shared" si="2"/>
        <v>6.25</v>
      </c>
    </row>
    <row r="198" spans="10:16" x14ac:dyDescent="0.2">
      <c r="J198" s="43" t="s">
        <v>19</v>
      </c>
      <c r="K198" s="53">
        <v>7</v>
      </c>
      <c r="L198" s="6" t="s">
        <v>91</v>
      </c>
      <c r="M198" s="6" t="s">
        <v>90</v>
      </c>
      <c r="P198" s="52">
        <f t="shared" si="2"/>
        <v>6.25</v>
      </c>
    </row>
    <row r="199" spans="10:16" x14ac:dyDescent="0.2">
      <c r="J199" s="43" t="s">
        <v>19</v>
      </c>
      <c r="K199" s="53">
        <v>8</v>
      </c>
      <c r="L199" s="6" t="s">
        <v>91</v>
      </c>
      <c r="M199" s="6" t="s">
        <v>90</v>
      </c>
      <c r="P199" s="52">
        <f t="shared" si="2"/>
        <v>6.25</v>
      </c>
    </row>
    <row r="200" spans="10:16" x14ac:dyDescent="0.2">
      <c r="J200" s="43" t="s">
        <v>19</v>
      </c>
      <c r="K200" s="53">
        <v>9</v>
      </c>
      <c r="L200" s="6" t="s">
        <v>91</v>
      </c>
      <c r="M200" s="6" t="s">
        <v>90</v>
      </c>
      <c r="P200" s="52">
        <f t="shared" si="2"/>
        <v>6.25</v>
      </c>
    </row>
    <row r="201" spans="10:16" x14ac:dyDescent="0.2">
      <c r="J201" s="43" t="s">
        <v>19</v>
      </c>
      <c r="K201" s="53">
        <v>10</v>
      </c>
      <c r="L201" s="6" t="s">
        <v>91</v>
      </c>
      <c r="M201" s="6" t="s">
        <v>90</v>
      </c>
      <c r="P201" s="52">
        <f t="shared" si="2"/>
        <v>6.25</v>
      </c>
    </row>
    <row r="202" spans="10:16" x14ac:dyDescent="0.2">
      <c r="J202" s="43" t="s">
        <v>19</v>
      </c>
      <c r="K202" s="53">
        <v>11</v>
      </c>
      <c r="L202" s="6" t="s">
        <v>91</v>
      </c>
      <c r="M202" s="6" t="s">
        <v>90</v>
      </c>
      <c r="P202" s="52">
        <f t="shared" si="2"/>
        <v>6.25</v>
      </c>
    </row>
    <row r="203" spans="10:16" x14ac:dyDescent="0.2">
      <c r="J203" s="43" t="s">
        <v>19</v>
      </c>
      <c r="K203" s="53">
        <v>12</v>
      </c>
      <c r="L203" s="6" t="s">
        <v>91</v>
      </c>
      <c r="M203" s="6" t="s">
        <v>90</v>
      </c>
      <c r="P203" s="52">
        <f t="shared" si="2"/>
        <v>6.25</v>
      </c>
    </row>
    <row r="204" spans="10:16" x14ac:dyDescent="0.2">
      <c r="J204" s="43" t="s">
        <v>22</v>
      </c>
      <c r="K204" s="53">
        <v>1</v>
      </c>
      <c r="P204" s="54">
        <f t="shared" si="2"/>
        <v>1.4833000000000001</v>
      </c>
    </row>
    <row r="205" spans="10:16" x14ac:dyDescent="0.2">
      <c r="J205" s="43" t="s">
        <v>22</v>
      </c>
      <c r="K205" s="53">
        <v>2</v>
      </c>
      <c r="P205" s="54">
        <f t="shared" si="2"/>
        <v>1.4833000000000001</v>
      </c>
    </row>
    <row r="206" spans="10:16" x14ac:dyDescent="0.2">
      <c r="J206" s="43" t="s">
        <v>22</v>
      </c>
      <c r="K206" s="53">
        <v>3</v>
      </c>
      <c r="P206" s="54">
        <f t="shared" si="2"/>
        <v>1.4833000000000001</v>
      </c>
    </row>
    <row r="207" spans="10:16" x14ac:dyDescent="0.2">
      <c r="J207" s="43" t="s">
        <v>22</v>
      </c>
      <c r="K207" s="53">
        <v>4</v>
      </c>
      <c r="P207" s="54">
        <f t="shared" si="2"/>
        <v>1.4833000000000001</v>
      </c>
    </row>
    <row r="208" spans="10:16" x14ac:dyDescent="0.2">
      <c r="J208" s="43" t="s">
        <v>22</v>
      </c>
      <c r="K208" s="53">
        <v>5</v>
      </c>
      <c r="P208" s="54">
        <f t="shared" si="2"/>
        <v>1.4833000000000001</v>
      </c>
    </row>
    <row r="209" spans="10:16" x14ac:dyDescent="0.2">
      <c r="J209" s="43" t="s">
        <v>22</v>
      </c>
      <c r="K209" s="53">
        <v>6</v>
      </c>
      <c r="P209" s="54">
        <f t="shared" si="2"/>
        <v>1.4833000000000001</v>
      </c>
    </row>
    <row r="210" spans="10:16" x14ac:dyDescent="0.2">
      <c r="J210" s="43" t="s">
        <v>22</v>
      </c>
      <c r="K210" s="53">
        <v>7</v>
      </c>
      <c r="P210" s="54">
        <f t="shared" si="2"/>
        <v>1.4833000000000001</v>
      </c>
    </row>
    <row r="211" spans="10:16" x14ac:dyDescent="0.2">
      <c r="J211" s="43" t="s">
        <v>22</v>
      </c>
      <c r="K211" s="53">
        <v>8</v>
      </c>
      <c r="P211" s="54">
        <f t="shared" si="2"/>
        <v>1.4833000000000001</v>
      </c>
    </row>
    <row r="212" spans="10:16" x14ac:dyDescent="0.2">
      <c r="J212" s="43" t="s">
        <v>22</v>
      </c>
      <c r="K212" s="53">
        <v>9</v>
      </c>
      <c r="P212" s="54">
        <f t="shared" si="2"/>
        <v>1.4833000000000001</v>
      </c>
    </row>
    <row r="213" spans="10:16" x14ac:dyDescent="0.2">
      <c r="J213" s="43" t="s">
        <v>22</v>
      </c>
      <c r="K213" s="53">
        <v>10</v>
      </c>
      <c r="P213" s="54">
        <f t="shared" ref="P213:P276" si="3">_xlfn.XLOOKUP(J213, A:A, C:C)</f>
        <v>1.4833000000000001</v>
      </c>
    </row>
    <row r="214" spans="10:16" x14ac:dyDescent="0.2">
      <c r="J214" s="43" t="s">
        <v>22</v>
      </c>
      <c r="K214" s="53">
        <v>11</v>
      </c>
      <c r="P214" s="54">
        <f t="shared" si="3"/>
        <v>1.4833000000000001</v>
      </c>
    </row>
    <row r="215" spans="10:16" x14ac:dyDescent="0.2">
      <c r="J215" s="43" t="s">
        <v>22</v>
      </c>
      <c r="K215" s="53">
        <v>12</v>
      </c>
      <c r="P215" s="54">
        <f t="shared" si="3"/>
        <v>1.4833000000000001</v>
      </c>
    </row>
    <row r="216" spans="10:16" x14ac:dyDescent="0.2">
      <c r="J216" s="43" t="s">
        <v>22</v>
      </c>
      <c r="K216" s="53">
        <v>13</v>
      </c>
      <c r="P216" s="54">
        <f t="shared" si="3"/>
        <v>1.4833000000000001</v>
      </c>
    </row>
    <row r="217" spans="10:16" x14ac:dyDescent="0.2">
      <c r="J217" s="43" t="s">
        <v>22</v>
      </c>
      <c r="K217" s="53">
        <v>14</v>
      </c>
      <c r="P217" s="54">
        <f t="shared" si="3"/>
        <v>1.4833000000000001</v>
      </c>
    </row>
    <row r="218" spans="10:16" x14ac:dyDescent="0.2">
      <c r="J218" s="43" t="s">
        <v>24</v>
      </c>
      <c r="K218" s="6">
        <v>1</v>
      </c>
      <c r="P218" s="54">
        <f t="shared" si="3"/>
        <v>3.8332999999999999</v>
      </c>
    </row>
    <row r="219" spans="10:16" x14ac:dyDescent="0.2">
      <c r="J219" s="43" t="s">
        <v>24</v>
      </c>
      <c r="K219" s="6">
        <v>2</v>
      </c>
      <c r="P219" s="54">
        <f t="shared" si="3"/>
        <v>3.8332999999999999</v>
      </c>
    </row>
    <row r="220" spans="10:16" x14ac:dyDescent="0.2">
      <c r="J220" s="43" t="s">
        <v>24</v>
      </c>
      <c r="K220" s="6">
        <v>3</v>
      </c>
      <c r="P220" s="54">
        <f t="shared" si="3"/>
        <v>3.8332999999999999</v>
      </c>
    </row>
    <row r="221" spans="10:16" x14ac:dyDescent="0.2">
      <c r="J221" s="43" t="s">
        <v>24</v>
      </c>
      <c r="K221" s="6">
        <v>4</v>
      </c>
      <c r="P221" s="54">
        <f t="shared" si="3"/>
        <v>3.8332999999999999</v>
      </c>
    </row>
    <row r="222" spans="10:16" x14ac:dyDescent="0.2">
      <c r="J222" s="43" t="s">
        <v>24</v>
      </c>
      <c r="K222" s="6">
        <v>5</v>
      </c>
      <c r="P222" s="54">
        <f t="shared" si="3"/>
        <v>3.8332999999999999</v>
      </c>
    </row>
    <row r="223" spans="10:16" x14ac:dyDescent="0.2">
      <c r="J223" s="43" t="s">
        <v>24</v>
      </c>
      <c r="K223" s="6">
        <v>6</v>
      </c>
      <c r="P223" s="54">
        <f t="shared" si="3"/>
        <v>3.8332999999999999</v>
      </c>
    </row>
    <row r="224" spans="10:16" x14ac:dyDescent="0.2">
      <c r="J224" s="43" t="s">
        <v>24</v>
      </c>
      <c r="K224" s="6">
        <v>7</v>
      </c>
      <c r="P224" s="54">
        <f t="shared" si="3"/>
        <v>3.8332999999999999</v>
      </c>
    </row>
    <row r="225" spans="10:16" x14ac:dyDescent="0.2">
      <c r="J225" s="43" t="s">
        <v>24</v>
      </c>
      <c r="K225" s="6">
        <v>8</v>
      </c>
      <c r="P225" s="54">
        <f t="shared" si="3"/>
        <v>3.8332999999999999</v>
      </c>
    </row>
    <row r="226" spans="10:16" x14ac:dyDescent="0.2">
      <c r="J226" s="43" t="s">
        <v>24</v>
      </c>
      <c r="K226" s="6">
        <v>9</v>
      </c>
      <c r="P226" s="54">
        <f t="shared" si="3"/>
        <v>3.8332999999999999</v>
      </c>
    </row>
    <row r="227" spans="10:16" x14ac:dyDescent="0.2">
      <c r="J227" s="43" t="s">
        <v>24</v>
      </c>
      <c r="K227" s="6">
        <v>10</v>
      </c>
      <c r="P227" s="54">
        <f t="shared" si="3"/>
        <v>3.8332999999999999</v>
      </c>
    </row>
    <row r="228" spans="10:16" x14ac:dyDescent="0.2">
      <c r="J228" s="43" t="s">
        <v>24</v>
      </c>
      <c r="K228" s="6">
        <v>11</v>
      </c>
      <c r="P228" s="54">
        <f t="shared" si="3"/>
        <v>3.8332999999999999</v>
      </c>
    </row>
    <row r="229" spans="10:16" x14ac:dyDescent="0.2">
      <c r="J229" s="43" t="s">
        <v>24</v>
      </c>
      <c r="K229" s="6">
        <v>12</v>
      </c>
      <c r="P229" s="54">
        <f t="shared" si="3"/>
        <v>3.8332999999999999</v>
      </c>
    </row>
    <row r="230" spans="10:16" x14ac:dyDescent="0.2">
      <c r="J230" s="43" t="s">
        <v>24</v>
      </c>
      <c r="K230" s="6">
        <v>13</v>
      </c>
      <c r="P230" s="54">
        <f t="shared" si="3"/>
        <v>3.8332999999999999</v>
      </c>
    </row>
    <row r="231" spans="10:16" x14ac:dyDescent="0.2">
      <c r="J231" s="43" t="s">
        <v>24</v>
      </c>
      <c r="K231" s="6">
        <v>14</v>
      </c>
      <c r="P231" s="54">
        <f t="shared" si="3"/>
        <v>3.8332999999999999</v>
      </c>
    </row>
    <row r="232" spans="10:16" x14ac:dyDescent="0.2">
      <c r="J232" s="43" t="s">
        <v>24</v>
      </c>
      <c r="K232" s="6">
        <v>15</v>
      </c>
      <c r="P232" s="54">
        <f t="shared" si="3"/>
        <v>3.8332999999999999</v>
      </c>
    </row>
    <row r="233" spans="10:16" x14ac:dyDescent="0.2">
      <c r="J233" s="43" t="s">
        <v>24</v>
      </c>
      <c r="K233" s="6">
        <v>16</v>
      </c>
      <c r="P233" s="54">
        <f t="shared" si="3"/>
        <v>3.8332999999999999</v>
      </c>
    </row>
    <row r="234" spans="10:16" x14ac:dyDescent="0.2">
      <c r="J234" s="43" t="s">
        <v>24</v>
      </c>
      <c r="K234" s="6">
        <v>17</v>
      </c>
      <c r="P234" s="54">
        <f t="shared" si="3"/>
        <v>3.8332999999999999</v>
      </c>
    </row>
    <row r="235" spans="10:16" x14ac:dyDescent="0.2">
      <c r="J235" s="43" t="s">
        <v>24</v>
      </c>
      <c r="K235" s="6">
        <v>18</v>
      </c>
      <c r="P235" s="54">
        <f t="shared" si="3"/>
        <v>3.8332999999999999</v>
      </c>
    </row>
    <row r="236" spans="10:16" x14ac:dyDescent="0.2">
      <c r="J236" s="43" t="s">
        <v>24</v>
      </c>
      <c r="K236" s="6">
        <v>19</v>
      </c>
      <c r="P236" s="54">
        <f t="shared" si="3"/>
        <v>3.8332999999999999</v>
      </c>
    </row>
    <row r="237" spans="10:16" x14ac:dyDescent="0.2">
      <c r="J237" s="43" t="s">
        <v>24</v>
      </c>
      <c r="K237" s="6">
        <v>20</v>
      </c>
      <c r="P237" s="54">
        <f t="shared" si="3"/>
        <v>3.8332999999999999</v>
      </c>
    </row>
    <row r="238" spans="10:16" x14ac:dyDescent="0.2">
      <c r="J238" s="43" t="s">
        <v>24</v>
      </c>
      <c r="K238" s="6">
        <v>21</v>
      </c>
      <c r="P238" s="54">
        <f t="shared" si="3"/>
        <v>3.8332999999999999</v>
      </c>
    </row>
    <row r="239" spans="10:16" x14ac:dyDescent="0.2">
      <c r="J239" s="43" t="s">
        <v>24</v>
      </c>
      <c r="K239" s="6">
        <v>22</v>
      </c>
      <c r="P239" s="54">
        <f t="shared" si="3"/>
        <v>3.8332999999999999</v>
      </c>
    </row>
    <row r="240" spans="10:16" x14ac:dyDescent="0.2">
      <c r="J240" s="43" t="s">
        <v>24</v>
      </c>
      <c r="K240" s="6">
        <v>23</v>
      </c>
      <c r="P240" s="54">
        <f t="shared" si="3"/>
        <v>3.8332999999999999</v>
      </c>
    </row>
    <row r="241" spans="10:16" x14ac:dyDescent="0.2">
      <c r="J241" s="43" t="s">
        <v>24</v>
      </c>
      <c r="K241" s="6">
        <v>24</v>
      </c>
      <c r="P241" s="54">
        <f t="shared" si="3"/>
        <v>3.8332999999999999</v>
      </c>
    </row>
    <row r="242" spans="10:16" x14ac:dyDescent="0.2">
      <c r="J242" s="43" t="s">
        <v>24</v>
      </c>
      <c r="K242" s="6">
        <v>25</v>
      </c>
      <c r="P242" s="54">
        <f t="shared" si="3"/>
        <v>3.8332999999999999</v>
      </c>
    </row>
    <row r="243" spans="10:16" x14ac:dyDescent="0.2">
      <c r="J243" s="43" t="s">
        <v>24</v>
      </c>
      <c r="K243" s="6">
        <v>26</v>
      </c>
      <c r="P243" s="54">
        <f t="shared" si="3"/>
        <v>3.8332999999999999</v>
      </c>
    </row>
    <row r="244" spans="10:16" x14ac:dyDescent="0.2">
      <c r="J244" s="43" t="s">
        <v>24</v>
      </c>
      <c r="K244" s="6">
        <v>27</v>
      </c>
      <c r="P244" s="54">
        <f t="shared" si="3"/>
        <v>3.8332999999999999</v>
      </c>
    </row>
    <row r="245" spans="10:16" x14ac:dyDescent="0.2">
      <c r="J245" s="43" t="s">
        <v>24</v>
      </c>
      <c r="K245" s="6">
        <v>28</v>
      </c>
      <c r="P245" s="54">
        <f t="shared" si="3"/>
        <v>3.8332999999999999</v>
      </c>
    </row>
    <row r="246" spans="10:16" x14ac:dyDescent="0.2">
      <c r="J246" s="43" t="s">
        <v>28</v>
      </c>
      <c r="K246" s="6">
        <v>1</v>
      </c>
      <c r="P246" s="54">
        <f t="shared" si="3"/>
        <v>3.7166999999999999</v>
      </c>
    </row>
    <row r="247" spans="10:16" x14ac:dyDescent="0.2">
      <c r="J247" s="43" t="s">
        <v>28</v>
      </c>
      <c r="K247" s="6">
        <v>2</v>
      </c>
      <c r="P247" s="54">
        <f t="shared" si="3"/>
        <v>3.7166999999999999</v>
      </c>
    </row>
    <row r="248" spans="10:16" x14ac:dyDescent="0.2">
      <c r="J248" s="43" t="s">
        <v>28</v>
      </c>
      <c r="K248" s="6">
        <v>3</v>
      </c>
      <c r="P248" s="54">
        <f t="shared" si="3"/>
        <v>3.7166999999999999</v>
      </c>
    </row>
    <row r="249" spans="10:16" x14ac:dyDescent="0.2">
      <c r="J249" s="43" t="s">
        <v>28</v>
      </c>
      <c r="K249" s="6">
        <v>4</v>
      </c>
      <c r="P249" s="54">
        <f t="shared" si="3"/>
        <v>3.7166999999999999</v>
      </c>
    </row>
    <row r="250" spans="10:16" x14ac:dyDescent="0.2">
      <c r="J250" s="43" t="s">
        <v>31</v>
      </c>
      <c r="K250" s="6">
        <v>1</v>
      </c>
      <c r="P250" s="54">
        <f t="shared" si="3"/>
        <v>12.5</v>
      </c>
    </row>
    <row r="251" spans="10:16" x14ac:dyDescent="0.2">
      <c r="J251" s="43" t="s">
        <v>31</v>
      </c>
      <c r="K251" s="6">
        <v>2</v>
      </c>
      <c r="P251" s="54">
        <f t="shared" si="3"/>
        <v>12.5</v>
      </c>
    </row>
    <row r="252" spans="10:16" x14ac:dyDescent="0.2">
      <c r="J252" s="43" t="s">
        <v>31</v>
      </c>
      <c r="K252" s="6">
        <v>3</v>
      </c>
      <c r="P252" s="54">
        <f t="shared" si="3"/>
        <v>12.5</v>
      </c>
    </row>
    <row r="253" spans="10:16" x14ac:dyDescent="0.2">
      <c r="J253" s="43" t="s">
        <v>31</v>
      </c>
      <c r="K253" s="6">
        <v>4</v>
      </c>
      <c r="P253" s="54">
        <f t="shared" si="3"/>
        <v>12.5</v>
      </c>
    </row>
    <row r="254" spans="10:16" x14ac:dyDescent="0.2">
      <c r="J254" s="43" t="s">
        <v>31</v>
      </c>
      <c r="K254" s="6">
        <v>5</v>
      </c>
      <c r="P254" s="54">
        <f t="shared" si="3"/>
        <v>12.5</v>
      </c>
    </row>
    <row r="255" spans="10:16" x14ac:dyDescent="0.2">
      <c r="J255" s="43" t="s">
        <v>31</v>
      </c>
      <c r="K255" s="6">
        <v>6</v>
      </c>
      <c r="P255" s="54">
        <f t="shared" si="3"/>
        <v>12.5</v>
      </c>
    </row>
    <row r="256" spans="10:16" x14ac:dyDescent="0.2">
      <c r="J256" s="43" t="s">
        <v>31</v>
      </c>
      <c r="K256" s="6">
        <v>7</v>
      </c>
      <c r="P256" s="54">
        <f t="shared" si="3"/>
        <v>12.5</v>
      </c>
    </row>
    <row r="257" spans="10:16" x14ac:dyDescent="0.2">
      <c r="J257" s="43" t="s">
        <v>31</v>
      </c>
      <c r="K257" s="6">
        <v>8</v>
      </c>
      <c r="P257" s="54">
        <f t="shared" si="3"/>
        <v>12.5</v>
      </c>
    </row>
    <row r="258" spans="10:16" x14ac:dyDescent="0.2">
      <c r="J258" s="43" t="s">
        <v>31</v>
      </c>
      <c r="K258" s="6">
        <v>9</v>
      </c>
      <c r="P258" s="54">
        <f t="shared" si="3"/>
        <v>12.5</v>
      </c>
    </row>
    <row r="259" spans="10:16" x14ac:dyDescent="0.2">
      <c r="J259" s="43" t="s">
        <v>31</v>
      </c>
      <c r="K259" s="6">
        <v>10</v>
      </c>
      <c r="P259" s="54">
        <f t="shared" si="3"/>
        <v>12.5</v>
      </c>
    </row>
    <row r="260" spans="10:16" x14ac:dyDescent="0.2">
      <c r="J260" s="43" t="s">
        <v>31</v>
      </c>
      <c r="K260" s="6">
        <v>11</v>
      </c>
      <c r="P260" s="54">
        <f t="shared" si="3"/>
        <v>12.5</v>
      </c>
    </row>
    <row r="261" spans="10:16" x14ac:dyDescent="0.2">
      <c r="J261" s="43" t="s">
        <v>31</v>
      </c>
      <c r="K261" s="6">
        <v>12</v>
      </c>
      <c r="P261" s="54">
        <f t="shared" si="3"/>
        <v>12.5</v>
      </c>
    </row>
    <row r="262" spans="10:16" x14ac:dyDescent="0.2">
      <c r="J262" s="43" t="s">
        <v>31</v>
      </c>
      <c r="K262" s="6">
        <v>13</v>
      </c>
      <c r="P262" s="54">
        <f t="shared" si="3"/>
        <v>12.5</v>
      </c>
    </row>
    <row r="263" spans="10:16" x14ac:dyDescent="0.2">
      <c r="J263" s="43" t="s">
        <v>31</v>
      </c>
      <c r="K263" s="6">
        <v>14</v>
      </c>
      <c r="P263" s="54">
        <f t="shared" si="3"/>
        <v>12.5</v>
      </c>
    </row>
    <row r="264" spans="10:16" x14ac:dyDescent="0.2">
      <c r="J264" s="43" t="s">
        <v>31</v>
      </c>
      <c r="K264" s="6">
        <v>15</v>
      </c>
      <c r="P264" s="54">
        <f t="shared" si="3"/>
        <v>12.5</v>
      </c>
    </row>
    <row r="265" spans="10:16" x14ac:dyDescent="0.2">
      <c r="J265" s="43" t="s">
        <v>31</v>
      </c>
      <c r="K265" s="6">
        <v>16</v>
      </c>
      <c r="P265" s="54">
        <f t="shared" si="3"/>
        <v>12.5</v>
      </c>
    </row>
    <row r="266" spans="10:16" x14ac:dyDescent="0.2">
      <c r="J266" s="43" t="s">
        <v>31</v>
      </c>
      <c r="K266" s="6">
        <v>17</v>
      </c>
      <c r="P266" s="54">
        <f t="shared" si="3"/>
        <v>12.5</v>
      </c>
    </row>
    <row r="267" spans="10:16" x14ac:dyDescent="0.2">
      <c r="J267" s="43" t="s">
        <v>31</v>
      </c>
      <c r="K267" s="6">
        <v>18</v>
      </c>
      <c r="P267" s="54">
        <f t="shared" si="3"/>
        <v>12.5</v>
      </c>
    </row>
    <row r="268" spans="10:16" x14ac:dyDescent="0.2">
      <c r="J268" s="43" t="s">
        <v>31</v>
      </c>
      <c r="K268" s="6">
        <v>19</v>
      </c>
      <c r="P268" s="54">
        <f t="shared" si="3"/>
        <v>12.5</v>
      </c>
    </row>
    <row r="269" spans="10:16" x14ac:dyDescent="0.2">
      <c r="J269" s="43" t="s">
        <v>31</v>
      </c>
      <c r="K269" s="6">
        <v>20</v>
      </c>
      <c r="P269" s="54">
        <f t="shared" si="3"/>
        <v>12.5</v>
      </c>
    </row>
    <row r="270" spans="10:16" x14ac:dyDescent="0.2">
      <c r="J270" s="43" t="s">
        <v>31</v>
      </c>
      <c r="K270" s="6">
        <v>21</v>
      </c>
      <c r="P270" s="54">
        <f t="shared" si="3"/>
        <v>12.5</v>
      </c>
    </row>
    <row r="271" spans="10:16" x14ac:dyDescent="0.2">
      <c r="J271" s="43" t="s">
        <v>31</v>
      </c>
      <c r="K271" s="6">
        <v>22</v>
      </c>
      <c r="P271" s="54">
        <f t="shared" si="3"/>
        <v>12.5</v>
      </c>
    </row>
    <row r="272" spans="10:16" x14ac:dyDescent="0.2">
      <c r="J272" s="43" t="s">
        <v>31</v>
      </c>
      <c r="K272" s="6">
        <v>23</v>
      </c>
      <c r="P272" s="54">
        <f t="shared" si="3"/>
        <v>12.5</v>
      </c>
    </row>
    <row r="273" spans="10:16" x14ac:dyDescent="0.2">
      <c r="J273" s="43" t="s">
        <v>31</v>
      </c>
      <c r="K273" s="6">
        <v>24</v>
      </c>
      <c r="P273" s="54">
        <f t="shared" si="3"/>
        <v>12.5</v>
      </c>
    </row>
    <row r="274" spans="10:16" x14ac:dyDescent="0.2">
      <c r="J274" s="43" t="s">
        <v>31</v>
      </c>
      <c r="K274" s="6">
        <v>25</v>
      </c>
      <c r="P274" s="54">
        <f t="shared" si="3"/>
        <v>12.5</v>
      </c>
    </row>
    <row r="275" spans="10:16" x14ac:dyDescent="0.2">
      <c r="J275" s="43" t="s">
        <v>31</v>
      </c>
      <c r="K275" s="6">
        <v>26</v>
      </c>
      <c r="P275" s="54">
        <f t="shared" si="3"/>
        <v>12.5</v>
      </c>
    </row>
    <row r="276" spans="10:16" x14ac:dyDescent="0.2">
      <c r="J276" s="43" t="s">
        <v>31</v>
      </c>
      <c r="K276" s="6">
        <v>27</v>
      </c>
      <c r="P276" s="54">
        <f t="shared" si="3"/>
        <v>12.5</v>
      </c>
    </row>
    <row r="277" spans="10:16" x14ac:dyDescent="0.2">
      <c r="J277" s="43" t="s">
        <v>31</v>
      </c>
      <c r="K277" s="6">
        <v>28</v>
      </c>
      <c r="P277" s="54">
        <f t="shared" ref="P277:P290" si="4">_xlfn.XLOOKUP(J277, A:A, C:C)</f>
        <v>12.5</v>
      </c>
    </row>
    <row r="278" spans="10:16" x14ac:dyDescent="0.2">
      <c r="J278" s="43" t="s">
        <v>31</v>
      </c>
      <c r="K278" s="6">
        <v>29</v>
      </c>
      <c r="P278" s="54">
        <f t="shared" si="4"/>
        <v>12.5</v>
      </c>
    </row>
    <row r="279" spans="10:16" x14ac:dyDescent="0.2">
      <c r="J279" s="43" t="s">
        <v>31</v>
      </c>
      <c r="K279" s="6">
        <v>30</v>
      </c>
      <c r="P279" s="54">
        <f t="shared" si="4"/>
        <v>12.5</v>
      </c>
    </row>
    <row r="280" spans="10:16" x14ac:dyDescent="0.2">
      <c r="J280" s="43" t="s">
        <v>31</v>
      </c>
      <c r="K280" s="6">
        <v>31</v>
      </c>
      <c r="P280" s="54">
        <f t="shared" si="4"/>
        <v>12.5</v>
      </c>
    </row>
    <row r="281" spans="10:16" x14ac:dyDescent="0.2">
      <c r="J281" s="43" t="s">
        <v>31</v>
      </c>
      <c r="K281" s="6">
        <v>32</v>
      </c>
      <c r="P281" s="54">
        <f t="shared" si="4"/>
        <v>12.5</v>
      </c>
    </row>
    <row r="282" spans="10:16" x14ac:dyDescent="0.2">
      <c r="J282" s="43" t="s">
        <v>31</v>
      </c>
      <c r="K282" s="6">
        <v>33</v>
      </c>
      <c r="P282" s="54">
        <f t="shared" si="4"/>
        <v>12.5</v>
      </c>
    </row>
    <row r="283" spans="10:16" x14ac:dyDescent="0.2">
      <c r="J283" s="43" t="s">
        <v>31</v>
      </c>
      <c r="K283" s="6">
        <v>34</v>
      </c>
      <c r="P283" s="54">
        <f t="shared" si="4"/>
        <v>12.5</v>
      </c>
    </row>
    <row r="284" spans="10:16" x14ac:dyDescent="0.2">
      <c r="J284" s="43" t="s">
        <v>31</v>
      </c>
      <c r="K284" s="6">
        <v>35</v>
      </c>
      <c r="P284" s="54">
        <f t="shared" si="4"/>
        <v>12.5</v>
      </c>
    </row>
    <row r="285" spans="10:16" x14ac:dyDescent="0.2">
      <c r="J285" s="43" t="s">
        <v>31</v>
      </c>
      <c r="K285" s="6">
        <v>36</v>
      </c>
      <c r="P285" s="54">
        <f t="shared" si="4"/>
        <v>12.5</v>
      </c>
    </row>
    <row r="286" spans="10:16" x14ac:dyDescent="0.2">
      <c r="J286" s="43" t="s">
        <v>31</v>
      </c>
      <c r="K286" s="6">
        <v>37</v>
      </c>
      <c r="P286" s="54">
        <f t="shared" si="4"/>
        <v>12.5</v>
      </c>
    </row>
    <row r="287" spans="10:16" x14ac:dyDescent="0.2">
      <c r="J287" s="43" t="s">
        <v>31</v>
      </c>
      <c r="K287" s="6">
        <v>38</v>
      </c>
      <c r="P287" s="54">
        <f t="shared" si="4"/>
        <v>12.5</v>
      </c>
    </row>
    <row r="288" spans="10:16" x14ac:dyDescent="0.2">
      <c r="J288" s="43" t="s">
        <v>31</v>
      </c>
      <c r="K288" s="6">
        <v>39</v>
      </c>
      <c r="P288" s="54">
        <f t="shared" si="4"/>
        <v>12.5</v>
      </c>
    </row>
    <row r="289" spans="8:16" x14ac:dyDescent="0.2">
      <c r="J289" s="43" t="s">
        <v>31</v>
      </c>
      <c r="K289" s="6">
        <v>40</v>
      </c>
      <c r="P289" s="54">
        <f t="shared" si="4"/>
        <v>12.5</v>
      </c>
    </row>
    <row r="290" spans="8:16" x14ac:dyDescent="0.2">
      <c r="H290" t="s">
        <v>110</v>
      </c>
      <c r="I290" t="s">
        <v>108</v>
      </c>
      <c r="J290" s="43" t="s">
        <v>10</v>
      </c>
      <c r="K290" s="6">
        <v>1</v>
      </c>
      <c r="P290" s="54">
        <f t="shared" si="4"/>
        <v>10.417</v>
      </c>
    </row>
    <row r="291" spans="8:16" x14ac:dyDescent="0.2">
      <c r="H291" t="s">
        <v>110</v>
      </c>
      <c r="I291" t="s">
        <v>108</v>
      </c>
      <c r="J291" s="43" t="s">
        <v>10</v>
      </c>
      <c r="K291" s="6">
        <v>2</v>
      </c>
    </row>
    <row r="292" spans="8:16" x14ac:dyDescent="0.2">
      <c r="H292" t="s">
        <v>110</v>
      </c>
      <c r="I292" t="s">
        <v>108</v>
      </c>
      <c r="J292" s="43" t="s">
        <v>10</v>
      </c>
      <c r="K292" s="6">
        <v>3</v>
      </c>
    </row>
    <row r="293" spans="8:16" x14ac:dyDescent="0.2">
      <c r="H293" t="s">
        <v>110</v>
      </c>
      <c r="I293" t="s">
        <v>108</v>
      </c>
      <c r="J293" s="43" t="s">
        <v>10</v>
      </c>
      <c r="K293" s="6">
        <v>4</v>
      </c>
    </row>
    <row r="294" spans="8:16" x14ac:dyDescent="0.2">
      <c r="H294" t="s">
        <v>110</v>
      </c>
      <c r="I294" t="s">
        <v>109</v>
      </c>
      <c r="J294" s="43" t="s">
        <v>10</v>
      </c>
      <c r="K294" s="6">
        <v>5</v>
      </c>
    </row>
    <row r="295" spans="8:16" x14ac:dyDescent="0.2">
      <c r="H295" t="s">
        <v>110</v>
      </c>
      <c r="I295" t="s">
        <v>109</v>
      </c>
      <c r="J295" s="43" t="s">
        <v>10</v>
      </c>
      <c r="K295" s="6">
        <v>6</v>
      </c>
    </row>
    <row r="296" spans="8:16" x14ac:dyDescent="0.2">
      <c r="H296" t="s">
        <v>110</v>
      </c>
      <c r="I296" t="s">
        <v>108</v>
      </c>
      <c r="J296" s="43" t="s">
        <v>10</v>
      </c>
      <c r="K296" s="6">
        <v>7</v>
      </c>
    </row>
    <row r="297" spans="8:16" x14ac:dyDescent="0.2">
      <c r="H297" t="s">
        <v>110</v>
      </c>
      <c r="I297" t="s">
        <v>108</v>
      </c>
      <c r="J297" s="43" t="s">
        <v>10</v>
      </c>
      <c r="K297" s="6">
        <v>8</v>
      </c>
    </row>
    <row r="298" spans="8:16" x14ac:dyDescent="0.2">
      <c r="H298" t="s">
        <v>110</v>
      </c>
      <c r="I298" t="s">
        <v>108</v>
      </c>
      <c r="J298" s="43" t="s">
        <v>10</v>
      </c>
      <c r="K298" s="6">
        <v>9</v>
      </c>
    </row>
    <row r="299" spans="8:16" x14ac:dyDescent="0.2">
      <c r="H299" t="s">
        <v>110</v>
      </c>
      <c r="I299" t="s">
        <v>108</v>
      </c>
      <c r="J299" s="43" t="s">
        <v>10</v>
      </c>
      <c r="K299" s="6">
        <v>10</v>
      </c>
    </row>
    <row r="300" spans="8:16" x14ac:dyDescent="0.2">
      <c r="H300" t="s">
        <v>110</v>
      </c>
      <c r="I300" t="s">
        <v>109</v>
      </c>
      <c r="J300" s="43" t="s">
        <v>10</v>
      </c>
      <c r="K300" s="6">
        <v>11</v>
      </c>
    </row>
    <row r="301" spans="8:16" x14ac:dyDescent="0.2">
      <c r="H301" t="s">
        <v>110</v>
      </c>
      <c r="I301" t="s">
        <v>109</v>
      </c>
      <c r="J301" s="43" t="s">
        <v>10</v>
      </c>
      <c r="K301" s="6">
        <v>12</v>
      </c>
    </row>
    <row r="302" spans="8:16" x14ac:dyDescent="0.2">
      <c r="H302" t="s">
        <v>110</v>
      </c>
      <c r="I302" t="s">
        <v>111</v>
      </c>
      <c r="J302" s="43" t="s">
        <v>16</v>
      </c>
      <c r="K302" s="6">
        <v>1</v>
      </c>
    </row>
    <row r="303" spans="8:16" x14ac:dyDescent="0.2">
      <c r="H303" t="s">
        <v>110</v>
      </c>
      <c r="I303" t="s">
        <v>111</v>
      </c>
      <c r="J303" s="43" t="s">
        <v>16</v>
      </c>
      <c r="K303" s="6">
        <v>2</v>
      </c>
    </row>
    <row r="304" spans="8:16" x14ac:dyDescent="0.2">
      <c r="H304" t="s">
        <v>110</v>
      </c>
      <c r="I304" t="s">
        <v>111</v>
      </c>
      <c r="J304" s="43" t="s">
        <v>16</v>
      </c>
      <c r="K304" s="6">
        <v>3</v>
      </c>
    </row>
    <row r="305" spans="8:11" x14ac:dyDescent="0.2">
      <c r="H305" t="s">
        <v>110</v>
      </c>
      <c r="I305" t="s">
        <v>111</v>
      </c>
      <c r="J305" s="43" t="s">
        <v>16</v>
      </c>
      <c r="K305" s="6">
        <v>4</v>
      </c>
    </row>
    <row r="306" spans="8:11" x14ac:dyDescent="0.2">
      <c r="H306" t="s">
        <v>110</v>
      </c>
      <c r="I306" t="s">
        <v>111</v>
      </c>
      <c r="J306" s="43" t="s">
        <v>16</v>
      </c>
      <c r="K306" s="6">
        <v>5</v>
      </c>
    </row>
    <row r="307" spans="8:11" x14ac:dyDescent="0.2">
      <c r="H307" t="s">
        <v>110</v>
      </c>
      <c r="I307" t="s">
        <v>111</v>
      </c>
      <c r="J307" s="43" t="s">
        <v>16</v>
      </c>
      <c r="K307" s="6">
        <v>6</v>
      </c>
    </row>
    <row r="308" spans="8:11" x14ac:dyDescent="0.2">
      <c r="H308" t="s">
        <v>110</v>
      </c>
      <c r="I308" t="s">
        <v>112</v>
      </c>
      <c r="J308" s="43" t="s">
        <v>16</v>
      </c>
      <c r="K308" s="6">
        <v>7</v>
      </c>
    </row>
    <row r="309" spans="8:11" x14ac:dyDescent="0.2">
      <c r="H309" t="s">
        <v>110</v>
      </c>
      <c r="I309" t="s">
        <v>112</v>
      </c>
      <c r="J309" s="43" t="s">
        <v>16</v>
      </c>
      <c r="K309" s="6">
        <v>8</v>
      </c>
    </row>
    <row r="310" spans="8:11" x14ac:dyDescent="0.2">
      <c r="H310" t="s">
        <v>110</v>
      </c>
      <c r="I310" t="s">
        <v>111</v>
      </c>
      <c r="J310" s="43" t="s">
        <v>16</v>
      </c>
      <c r="K310" s="6">
        <v>9</v>
      </c>
    </row>
    <row r="311" spans="8:11" x14ac:dyDescent="0.2">
      <c r="H311" t="s">
        <v>110</v>
      </c>
      <c r="I311" t="s">
        <v>111</v>
      </c>
      <c r="J311" s="43" t="s">
        <v>16</v>
      </c>
      <c r="K311" s="6">
        <v>10</v>
      </c>
    </row>
    <row r="312" spans="8:11" x14ac:dyDescent="0.2">
      <c r="H312" t="s">
        <v>110</v>
      </c>
      <c r="I312" t="s">
        <v>111</v>
      </c>
      <c r="J312" s="43" t="s">
        <v>16</v>
      </c>
      <c r="K312" s="6">
        <v>11</v>
      </c>
    </row>
    <row r="313" spans="8:11" x14ac:dyDescent="0.2">
      <c r="H313" t="s">
        <v>110</v>
      </c>
      <c r="I313" t="s">
        <v>111</v>
      </c>
      <c r="J313" s="43" t="s">
        <v>16</v>
      </c>
      <c r="K313" s="6">
        <v>12</v>
      </c>
    </row>
    <row r="314" spans="8:11" x14ac:dyDescent="0.2">
      <c r="H314" t="s">
        <v>110</v>
      </c>
      <c r="I314" t="s">
        <v>111</v>
      </c>
      <c r="J314" s="43" t="s">
        <v>16</v>
      </c>
      <c r="K314" s="6">
        <v>13</v>
      </c>
    </row>
    <row r="315" spans="8:11" x14ac:dyDescent="0.2">
      <c r="H315" t="s">
        <v>110</v>
      </c>
      <c r="I315" t="s">
        <v>111</v>
      </c>
      <c r="J315" s="43" t="s">
        <v>16</v>
      </c>
      <c r="K315" s="6">
        <v>14</v>
      </c>
    </row>
    <row r="316" spans="8:11" x14ac:dyDescent="0.2">
      <c r="H316" t="s">
        <v>110</v>
      </c>
      <c r="I316" t="s">
        <v>112</v>
      </c>
      <c r="J316" s="43" t="s">
        <v>16</v>
      </c>
      <c r="K316" s="6">
        <v>15</v>
      </c>
    </row>
    <row r="317" spans="8:11" x14ac:dyDescent="0.2">
      <c r="H317" t="s">
        <v>110</v>
      </c>
      <c r="I317" t="s">
        <v>112</v>
      </c>
      <c r="J317" s="43" t="s">
        <v>16</v>
      </c>
      <c r="K317" s="6">
        <v>16</v>
      </c>
    </row>
    <row r="318" spans="8:11" x14ac:dyDescent="0.2">
      <c r="H318" t="s">
        <v>99</v>
      </c>
      <c r="J318" s="43" t="s">
        <v>23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Rosita Fu</dc:creator>
  <cp:lastModifiedBy>Rosita Fu</cp:lastModifiedBy>
  <dcterms:created xsi:type="dcterms:W3CDTF">2026-03-01T23:08:24Z</dcterms:created>
  <dcterms:modified xsi:type="dcterms:W3CDTF">2026-03-02T00:14:09Z</dcterms:modified>
</cp:coreProperties>
</file>