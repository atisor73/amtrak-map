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f50/playground/amtrak-map/data/"/>
    </mc:Choice>
  </mc:AlternateContent>
  <xr:revisionPtr revIDLastSave="0" documentId="13_ncr:1_{D9AA750A-0B6F-A846-9B4D-147F42F0F514}" xr6:coauthVersionLast="47" xr6:coauthVersionMax="47" xr10:uidLastSave="{00000000-0000-0000-0000-000000000000}"/>
  <bookViews>
    <workbookView xWindow="8080" yWindow="600" windowWidth="20720" windowHeight="16660" xr2:uid="{22AC9FD6-AE6E-7D4C-946C-D1D228A595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" i="1" l="1"/>
  <c r="H40" i="1"/>
  <c r="H39" i="1"/>
  <c r="H38" i="1"/>
  <c r="H35" i="1"/>
  <c r="H34" i="1"/>
  <c r="H33" i="1"/>
  <c r="H32" i="1"/>
  <c r="H31" i="1"/>
  <c r="H28" i="1"/>
  <c r="H30" i="1"/>
  <c r="H29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Rosita Fu</author>
  </authors>
  <commentList>
    <comment ref="F1" authorId="0" shapeId="0" xr:uid="{0A49A6C3-DB72-914C-860E-F1091A47DFD9}">
      <text>
        <r>
          <rPr>
            <b/>
            <sz val="10"/>
            <color rgb="FF000000"/>
            <rFont val="Tahoma"/>
            <family val="2"/>
          </rPr>
          <t>Rosita Fu: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maximum value taken for branched routes
</t>
        </r>
      </text>
    </comment>
    <comment ref="G1" authorId="0" shapeId="0" xr:uid="{377574B0-967E-6A43-B039-65B5391E1E97}">
      <text>
        <r>
          <rPr>
            <b/>
            <sz val="10"/>
            <color rgb="FF000000"/>
            <rFont val="Tahoma"/>
            <family val="2"/>
          </rPr>
          <t>Rosita Fu: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counted from schedule
</t>
        </r>
      </text>
    </comment>
    <comment ref="L1" authorId="0" shapeId="0" xr:uid="{06CB5A1A-BAE2-8741-BA47-7897CDBCC4AC}">
      <text>
        <r>
          <rPr>
            <b/>
            <sz val="10"/>
            <color rgb="FF000000"/>
            <rFont val="Tahoma"/>
            <family val="2"/>
          </rPr>
          <t>Rosita Fu: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chat-gpt (check manually)
</t>
        </r>
      </text>
    </comment>
  </commentList>
</comments>
</file>

<file path=xl/sharedStrings.xml><?xml version="1.0" encoding="utf-8"?>
<sst xmlns="http://schemas.openxmlformats.org/spreadsheetml/2006/main" count="406" uniqueCount="310">
  <si>
    <t>route</t>
  </si>
  <si>
    <t>origin</t>
  </si>
  <si>
    <t>destination</t>
  </si>
  <si>
    <t>ethan_allen_express</t>
  </si>
  <si>
    <t>route_label</t>
  </si>
  <si>
    <t>Ethan Allen Express</t>
  </si>
  <si>
    <t>hartford</t>
  </si>
  <si>
    <t>Hartford</t>
  </si>
  <si>
    <t>Berkshire Flyer</t>
  </si>
  <si>
    <t>berkshire_flyer</t>
  </si>
  <si>
    <t>valley_flyer</t>
  </si>
  <si>
    <t>crescent</t>
  </si>
  <si>
    <t>vermonter</t>
  </si>
  <si>
    <t>northeast_regional</t>
  </si>
  <si>
    <t>lakeshore_limited</t>
  </si>
  <si>
    <t>michigan_service</t>
  </si>
  <si>
    <t>silver_meteor_palmetto</t>
  </si>
  <si>
    <t>Valley Flyer</t>
  </si>
  <si>
    <t>Crescent</t>
  </si>
  <si>
    <t>Vermonter</t>
  </si>
  <si>
    <t>Northeast Regional</t>
  </si>
  <si>
    <t>Lakeshore Limited</t>
  </si>
  <si>
    <t>Michigan Service</t>
  </si>
  <si>
    <t>Silver Meteor / Palmetto</t>
  </si>
  <si>
    <t>pennsylvanian</t>
  </si>
  <si>
    <t>pacific_surfliner</t>
  </si>
  <si>
    <t>maple_leaf</t>
  </si>
  <si>
    <t>illinois_service</t>
  </si>
  <si>
    <t>sunset_limited</t>
  </si>
  <si>
    <t>heartland_flyer</t>
  </si>
  <si>
    <t>floridian</t>
  </si>
  <si>
    <t>coast_starlight</t>
  </si>
  <si>
    <t>city_of_new_orleans</t>
  </si>
  <si>
    <t>cardinal</t>
  </si>
  <si>
    <t>california_zephyr</t>
  </si>
  <si>
    <t>autotrain</t>
  </si>
  <si>
    <t>gold_runner</t>
  </si>
  <si>
    <t>cascades</t>
  </si>
  <si>
    <t>adirondack</t>
  </si>
  <si>
    <t>mardi_gras</t>
  </si>
  <si>
    <t>acela</t>
  </si>
  <si>
    <t>empire_builder</t>
  </si>
  <si>
    <t>borealis</t>
  </si>
  <si>
    <t>capitol_corridor</t>
  </si>
  <si>
    <t>carolinian</t>
  </si>
  <si>
    <t>downeaster</t>
  </si>
  <si>
    <t>empire_service</t>
  </si>
  <si>
    <t>keystone_service</t>
  </si>
  <si>
    <t>texas_eagle</t>
  </si>
  <si>
    <t>southwest_chief</t>
  </si>
  <si>
    <t>piedmont</t>
  </si>
  <si>
    <t>missouri_river</t>
  </si>
  <si>
    <t>lincoln_service</t>
  </si>
  <si>
    <t>hiawatha</t>
  </si>
  <si>
    <t>Pennsylvanian</t>
  </si>
  <si>
    <t>Pacific Surfliner</t>
  </si>
  <si>
    <t>Maple Leaf</t>
  </si>
  <si>
    <t>Illinois Service</t>
  </si>
  <si>
    <t>Sunset Limited</t>
  </si>
  <si>
    <t>Heartland Flyer</t>
  </si>
  <si>
    <t>Floridian</t>
  </si>
  <si>
    <t>Coast Starlight</t>
  </si>
  <si>
    <t>City of New Orleans</t>
  </si>
  <si>
    <t>Cardinal</t>
  </si>
  <si>
    <t>California Zephyr</t>
  </si>
  <si>
    <t>Autotrain</t>
  </si>
  <si>
    <t>Gold Runner</t>
  </si>
  <si>
    <t>Cascades</t>
  </si>
  <si>
    <t>Adirondack</t>
  </si>
  <si>
    <t>Mardi Gras</t>
  </si>
  <si>
    <t>Acela</t>
  </si>
  <si>
    <t>Empire Builder</t>
  </si>
  <si>
    <t>Borealis</t>
  </si>
  <si>
    <t>Capitol Corridor</t>
  </si>
  <si>
    <t>Carolinian</t>
  </si>
  <si>
    <t>Downeaster</t>
  </si>
  <si>
    <t>Empire Service</t>
  </si>
  <si>
    <t>Southwest Chief</t>
  </si>
  <si>
    <t>Texas Eagle</t>
  </si>
  <si>
    <t>Keystone Service</t>
  </si>
  <si>
    <t>Piedmont</t>
  </si>
  <si>
    <t>Missouri River</t>
  </si>
  <si>
    <t xml:space="preserve">Lincoln Service </t>
  </si>
  <si>
    <t>Hiawatha</t>
  </si>
  <si>
    <t>Boston</t>
  </si>
  <si>
    <t>Washington DC</t>
  </si>
  <si>
    <t>Montreal</t>
  </si>
  <si>
    <t>New York</t>
  </si>
  <si>
    <t>Vancouver, BC</t>
  </si>
  <si>
    <t>Eugene</t>
  </si>
  <si>
    <t>New Haven</t>
  </si>
  <si>
    <t>Springfield</t>
  </si>
  <si>
    <t>New Orleans</t>
  </si>
  <si>
    <t>Mobile</t>
  </si>
  <si>
    <t>Sanford, FL (Orlando)</t>
  </si>
  <si>
    <t>Lorton, VA (Washington DC)</t>
  </si>
  <si>
    <t>Pittsfield</t>
  </si>
  <si>
    <t>St. Paul / Minneapolis</t>
  </si>
  <si>
    <t>Chicago</t>
  </si>
  <si>
    <t>Emeryville (San Francisco)</t>
  </si>
  <si>
    <t>Auburn</t>
  </si>
  <si>
    <t>San Jose</t>
  </si>
  <si>
    <t>Charlotte</t>
  </si>
  <si>
    <t>Seattle</t>
  </si>
  <si>
    <t>Los Angeles</t>
  </si>
  <si>
    <t>Brunswick</t>
  </si>
  <si>
    <t>Portland/Seattle</t>
  </si>
  <si>
    <t>Niagara Falls</t>
  </si>
  <si>
    <t>Burlington</t>
  </si>
  <si>
    <t>stop_summary</t>
  </si>
  <si>
    <t>San Francisco / Sacramento</t>
  </si>
  <si>
    <t>Tampa / Miami</t>
  </si>
  <si>
    <t>Bakersfield</t>
  </si>
  <si>
    <t>Oklahoma City</t>
  </si>
  <si>
    <t>Fort Worth</t>
  </si>
  <si>
    <t>Milwaukee</t>
  </si>
  <si>
    <t>Carbondale</t>
  </si>
  <si>
    <t>Harrisburg</t>
  </si>
  <si>
    <t>New York - Philadelphia - Paoli - Downingtown - Lancaster - Harrisburg</t>
  </si>
  <si>
    <t>New York/Boston - Albany - Buffalo - Cleveland - Toledo - Chicago</t>
  </si>
  <si>
    <t>New York / Boston</t>
  </si>
  <si>
    <t>Kansas City</t>
  </si>
  <si>
    <t>Chicago - St. Louis - Kansas City, MO</t>
  </si>
  <si>
    <t>Toronto - Niagara Falls - Buffalo - Rochester - Syracuse - Albany - New York</t>
  </si>
  <si>
    <t>Toronto</t>
  </si>
  <si>
    <t>Chicago - Grand Rapids/Lansing- Port Huron/Ann Arbor - Detroit - Pontiac</t>
  </si>
  <si>
    <t>St. Louis</t>
  </si>
  <si>
    <t>Boston / Springfield</t>
  </si>
  <si>
    <t>Roanoke / Norfolk / Newport News</t>
  </si>
  <si>
    <t>Boston/Springfield - New York - Philadelphia - Washington - Roanoke/Norfolk/Newport News</t>
  </si>
  <si>
    <t>San Luis Obispo</t>
  </si>
  <si>
    <t>San Diego</t>
  </si>
  <si>
    <t>San Luis Obispo - Santa Barbara - Los Angeles - Anaheim - San Diego</t>
  </si>
  <si>
    <t>Pittsburgh</t>
  </si>
  <si>
    <t>Raleigh</t>
  </si>
  <si>
    <t>New York - Washington - Charleston - Savannah - Jacksonville - Orlando - Tampa/Miami</t>
  </si>
  <si>
    <t>Chicago - Kansas City, MO - La Junta - Albuquerque - Flagstaff - Los Angeles</t>
  </si>
  <si>
    <t>New Orleans - Houston - San Antonio - El Paso - Tucson - Palm Springs -  Los Angeles</t>
  </si>
  <si>
    <t>Chicago - St. Louis - Little Rock - Dallas - San Antonio - Tucson - Los Angeles</t>
  </si>
  <si>
    <t>New Haven - Springfield - Northampton - Greenfield</t>
  </si>
  <si>
    <t>Greenfield</t>
  </si>
  <si>
    <t>St. Albans - Essex Jct. (Burlington) - Springfield - New York - Washington</t>
  </si>
  <si>
    <t>St. Albans</t>
  </si>
  <si>
    <t>Raleigh - Durham - Greensboro - High Point - Charlotte</t>
  </si>
  <si>
    <t>New York - Philadelphia - Lancaster - Harrisburg - Altoona - Pittsburgh</t>
  </si>
  <si>
    <t>St. Louis - Washington - Sedalia - Independence - Kansas City, MO</t>
  </si>
  <si>
    <t>Chicago - Galesburg - Quincy/Springfield - St. Louis/Champaign-Urbana - Carbondale</t>
  </si>
  <si>
    <t>Milwaukee - Glenview - Chicago</t>
  </si>
  <si>
    <t>Oklahoma City - Fort Worth</t>
  </si>
  <si>
    <t>San Francisco Bay Area/Sacramento - Bakersfield/Southern California</t>
  </si>
  <si>
    <t>Chicago - Pittsburgh - Washington, DC - Savannah - Tampa/Miami</t>
  </si>
  <si>
    <t>Burlington - Rutland - Saratoga Springs - Albany - New York</t>
  </si>
  <si>
    <t>Niagara Falls - Buffalo - Rochester - Syracuse - Albany - New York </t>
  </si>
  <si>
    <t>Chicago - Milwaukee - St. Paul/Minneapolis - Minot - Spokane - Portland/Seattle</t>
  </si>
  <si>
    <t>Brunswick - Freeport - Portland - Saco - Exeter - Boston</t>
  </si>
  <si>
    <t>New York - Washington - Charlottesville - Charlotte - Atlanta - Birmingham - New Orleans</t>
  </si>
  <si>
    <t>Seattle - Tacoma - Portland - Sacramento - San Francisco area - Los Angeles</t>
  </si>
  <si>
    <t>Chicago - Champaign-Urbana - Carbondale - Memphis - Jackson - New Orleans</t>
  </si>
  <si>
    <t>New York - Richmond - Raleigh - Charlotte</t>
  </si>
  <si>
    <t>New York - Washington - Charlottesville - Cincinnati - Indianapolis - Chicago</t>
  </si>
  <si>
    <t>Auburn - Sacramento - Emeryville (San Francisco) - Oakland - San Jose</t>
  </si>
  <si>
    <t>Chicago - Omaha - Denver - Salt Lake City - Emeryville (San Francisco)</t>
  </si>
  <si>
    <t>St. Paul/Minneapolis - Milwaukee - Chicago</t>
  </si>
  <si>
    <t>New York - Poughkeepsie - Albany - Pittsfield</t>
  </si>
  <si>
    <t>Lorton, VA (Washington, DC) - Sanford, FL (Orlando)</t>
  </si>
  <si>
    <t>New Orleans - Gulfport - Mobile</t>
  </si>
  <si>
    <t>New Haven - Hartford - Windsor Locks - Springfield</t>
  </si>
  <si>
    <t>Vancouver, BC - Seattle - Tacoma - Portland - Salem - Eugene</t>
  </si>
  <si>
    <t>Montreal - Westport - Saratoga Springs - Albany - New York</t>
  </si>
  <si>
    <t>Boston - New Haven - New York - Philadelphia - Wilmington - Washington</t>
  </si>
  <si>
    <t>time</t>
  </si>
  <si>
    <t>7hrs</t>
  </si>
  <si>
    <t>time_label</t>
  </si>
  <si>
    <t>10hrs</t>
  </si>
  <si>
    <t>1hr 24min</t>
  </si>
  <si>
    <t>13hrs 30min</t>
  </si>
  <si>
    <t>frequency</t>
  </si>
  <si>
    <t>6hrs 30min</t>
  </si>
  <si>
    <t>26hrs 30min</t>
  </si>
  <si>
    <t>3 days a week</t>
  </si>
  <si>
    <t>3hrs 25min</t>
  </si>
  <si>
    <t>nx Daily</t>
  </si>
  <si>
    <t>Daily</t>
  </si>
  <si>
    <t>10hrs 25min</t>
  </si>
  <si>
    <t>3hrs 43min</t>
  </si>
  <si>
    <t>2x Daily</t>
  </si>
  <si>
    <t>17hrs 29min</t>
  </si>
  <si>
    <t>4hrs</t>
  </si>
  <si>
    <t>Late June - Early Sept</t>
  </si>
  <si>
    <t>7hrs 24min</t>
  </si>
  <si>
    <t>51hrs 20min</t>
  </si>
  <si>
    <t>3hrs 15min</t>
  </si>
  <si>
    <t>19hrs</t>
  </si>
  <si>
    <t>35hrs</t>
  </si>
  <si>
    <t>30hrs</t>
  </si>
  <si>
    <t>46hrs</t>
  </si>
  <si>
    <t>7hrs 20min</t>
  </si>
  <si>
    <t>7hrs 34min</t>
  </si>
  <si>
    <t>47hrs</t>
  </si>
  <si>
    <t>6hrs 15min</t>
  </si>
  <si>
    <t>4hrs 14min</t>
  </si>
  <si>
    <t>1hr 29min</t>
  </si>
  <si>
    <t>5hrs 30min</t>
  </si>
  <si>
    <t>3hrs 50min</t>
  </si>
  <si>
    <t>11hrs 45min</t>
  </si>
  <si>
    <t>12hrs 30min</t>
  </si>
  <si>
    <t>5hrs 40min</t>
  </si>
  <si>
    <t>9hrs</t>
  </si>
  <si>
    <t>9hrs 20min</t>
  </si>
  <si>
    <t>3hrs 10min</t>
  </si>
  <si>
    <t>&lt;28hrs</t>
  </si>
  <si>
    <t>40+hrs</t>
  </si>
  <si>
    <t>48hrs</t>
  </si>
  <si>
    <t>32hrs 25min</t>
  </si>
  <si>
    <t>2hrs 48min</t>
  </si>
  <si>
    <t>13hrs 45min</t>
  </si>
  <si>
    <t>link</t>
  </si>
  <si>
    <t>https://www.amtrak.com/routes/acela-train</t>
  </si>
  <si>
    <t>https://www.amtrak.com/routes/adirondack-train</t>
  </si>
  <si>
    <t>https://www.amtrak.com/routes/cascades-train</t>
  </si>
  <si>
    <t>https://www.amtrak.com/routes/amtrak-hartford-line-train</t>
  </si>
  <si>
    <t>https://www.amtrak.com/routes/amtrak-mardi-gras-service</t>
  </si>
  <si>
    <t>https://www.amtrak.com/routes/auto-train</t>
  </si>
  <si>
    <t>https://www.amtrak.com/routes/berkshire-flyer-train</t>
  </si>
  <si>
    <t>https://www.amtrak.com/routes/borealis-train</t>
  </si>
  <si>
    <t>https://www.amtrak.com/routes/california-zephyr-train</t>
  </si>
  <si>
    <t>https://www.amtrak.com/routes/capitol-corridor-train</t>
  </si>
  <si>
    <t>https://www.amtrak.com/routes/cardinal-train</t>
  </si>
  <si>
    <t>https://www.amtrak.com/routes/carolinian-train</t>
  </si>
  <si>
    <t>https://www.amtrak.com/routes/city-of-new-orleans-train</t>
  </si>
  <si>
    <t>https://www.amtrak.com/routes/coast-starlight-train</t>
  </si>
  <si>
    <t>https://www.amtrak.com/routes/crescent-train</t>
  </si>
  <si>
    <t>https://www.amtrak.com/routes/downeaster-train</t>
  </si>
  <si>
    <t>https://www.amtrak.com/routes/empire-builder-train</t>
  </si>
  <si>
    <t>https://www.amtrak.com/routes/empire-service-train</t>
  </si>
  <si>
    <t>https://www.amtrak.com/routes/ethan-allen-express-train</t>
  </si>
  <si>
    <t>https://www.amtrak.com/routes/floridian-train</t>
  </si>
  <si>
    <t>https://www.amtrak.com/routes/gold-runner-train</t>
  </si>
  <si>
    <t>https://www.amtrak.com/routes/heartland-flyer-train</t>
  </si>
  <si>
    <t>https://www.amtrak.com/routes/hiawatha-train</t>
  </si>
  <si>
    <t>https://www.amtrak.com/routes/illinois-services-train</t>
  </si>
  <si>
    <t>https://www.amtrak.com/routes/keystone-service-train</t>
  </si>
  <si>
    <t>https://www.amtrak.com/routes/lake-shore-limited-train</t>
  </si>
  <si>
    <t>https://www.amtrak.com/routes/lincoln-service-missouri-river-runner-train</t>
  </si>
  <si>
    <t>https://www.amtrak.com/routes/maple-leaf-train</t>
  </si>
  <si>
    <t>https://www.amtrak.com/routes/michigan-services-train</t>
  </si>
  <si>
    <t>https://www.amtrak.com/routes/missouri-river-runner-train</t>
  </si>
  <si>
    <t>https://www.amtrak.com/routes/northeast-regional-train</t>
  </si>
  <si>
    <t>https://www.amtrak.com/routes/pacific-surfliner-train</t>
  </si>
  <si>
    <t>https://www.amtrak.com/routes/pennsylvanian-train</t>
  </si>
  <si>
    <t>https://www.amtrak.com/routes/piedmont-train</t>
  </si>
  <si>
    <t>https://www.amtrak.com/routes/silver-service-palmetto-train</t>
  </si>
  <si>
    <t>https://www.amtrak.com/routes/southwest-chief-train</t>
  </si>
  <si>
    <t>https://www.amtrak.com/routes/sunset-limited-train</t>
  </si>
  <si>
    <t>https://www.amtrak.com/routes/texas-eagle-train</t>
  </si>
  <si>
    <t>https://www.amtrak.com/routes/valley-flyer-train</t>
  </si>
  <si>
    <t>https://www.amtrak.com/routes/vermonter-train</t>
  </si>
  <si>
    <t>Palmetto: 23, Silver: 32</t>
  </si>
  <si>
    <t>25 unique stations (min: 3, max: 25)</t>
  </si>
  <si>
    <t>29 unique stations (min: 9, max: 29)</t>
  </si>
  <si>
    <t>Grand Rapids / Lansing (Pere Marquette), Port Huron / Ann Arbor (Wolverine) , Detroit / Pontiac (Blue Water)</t>
  </si>
  <si>
    <t>28 unique stations (Pere Marquette: 5, Blue Water: 11, Wolverine: 15)</t>
  </si>
  <si>
    <t>21 unique stations (min: 8, max: 17)</t>
  </si>
  <si>
    <t>n_stations_approx</t>
  </si>
  <si>
    <t>n_stations_approx_label</t>
  </si>
  <si>
    <t>26 unique stations: Zephyr/Carl Sandburg: 10 (Chicago - Quincy), Saluki/Illini: 11 (Chicago - Carbondale), Lincoln: 11 (Chicago - St Louis)</t>
  </si>
  <si>
    <t>16 unique stations (min: 5, max: 16)</t>
  </si>
  <si>
    <t>18 unique stations (min: 8, max: 18)</t>
  </si>
  <si>
    <t>bikes</t>
  </si>
  <si>
    <t>yes</t>
  </si>
  <si>
    <t>miles_approx</t>
  </si>
  <si>
    <t>14 (min: 4, max: 14)</t>
  </si>
  <si>
    <t>1400 / 800</t>
  </si>
  <si>
    <t>_color</t>
  </si>
  <si>
    <t>#4A4A4A</t>
  </si>
  <si>
    <t>#D16935</t>
  </si>
  <si>
    <t>#4ECC93</t>
  </si>
  <si>
    <t>#4987C9</t>
  </si>
  <si>
    <t>#004CC7</t>
  </si>
  <si>
    <t>#E72177</t>
  </si>
  <si>
    <t>#FD6F2C</t>
  </si>
  <si>
    <t>#5E5E94</t>
  </si>
  <si>
    <t>#82C634</t>
  </si>
  <si>
    <t>#70DC55</t>
  </si>
  <si>
    <t>#2EC5B3</t>
  </si>
  <si>
    <t>#2377DE</t>
  </si>
  <si>
    <t>#DE2323</t>
  </si>
  <si>
    <t>#FF4EAD</t>
  </si>
  <si>
    <t>#F5CB0E</t>
  </si>
  <si>
    <t>#CC0F48</t>
  </si>
  <si>
    <t>#12AE68</t>
  </si>
  <si>
    <t>#A01919</t>
  </si>
  <si>
    <t>#F27435</t>
  </si>
  <si>
    <t>#A4A1B8</t>
  </si>
  <si>
    <t>#B2AC3D</t>
  </si>
  <si>
    <t>#2750AE</t>
  </si>
  <si>
    <t>#AE8A27</t>
  </si>
  <si>
    <t>#5C359B</t>
  </si>
  <si>
    <t>#F5BD23</t>
  </si>
  <si>
    <t>#2BBCCF</t>
  </si>
  <si>
    <t>#530F0F</t>
  </si>
  <si>
    <t>#D31BD9</t>
  </si>
  <si>
    <t>#9C8585</t>
  </si>
  <si>
    <t>#FE78A7</t>
  </si>
  <si>
    <t>#B03AD2</t>
  </si>
  <si>
    <t>#2AC1B0</t>
  </si>
  <si>
    <t>#FF80C0</t>
  </si>
  <si>
    <t>#A67979</t>
  </si>
  <si>
    <t>#9830A0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</si>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</sst>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2436"/>
      <name val="Calibri"/>
      <family val="2"/>
      <scheme val="minor"/>
    </font>
    <font>
      <sz val="8"/>
      <color rgb="FF002436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6" fillId="0" borderId="0" xfId="0" applyFont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8D532-A49D-4142-A645-094AE7D3637D}">
  <dimension ref="A1:N41"/>
  <sheetViews>
    <sheetView tabSelected="1" topLeftCell="A22" zoomScale="150" workbookViewId="0">
      <pane xSplit="1" topLeftCell="I1" activePane="topRight" state="frozen"/>
      <selection pane="topRight" activeCell="L20" sqref="L20"/>
    </sheetView>
  </sheetViews>
  <sheetFormatPr baseColWidth="10" defaultRowHeight="16" x14ac:dyDescent="0.2"/>
  <cols>
    <col min="1" max="1" width="20.83203125" customWidth="1"/>
    <col min="2" max="2" width="17.6640625" customWidth="1"/>
    <col min="3" max="3" width="14.83203125" customWidth="1"/>
    <col min="4" max="4" width="18.1640625" customWidth="1"/>
    <col min="5" max="5" width="14.5" style="5" customWidth="1"/>
    <col min="6" max="6" width="13" style="5" customWidth="1"/>
    <col min="7" max="7" width="23.1640625" customWidth="1"/>
    <col min="8" max="8" width="7.6640625" customWidth="1"/>
    <col min="9" max="9" width="14.83203125" customWidth="1"/>
    <col min="12" max="12" width="7.33203125" customWidth="1"/>
    <col min="13" max="13" width="8.83203125" customWidth="1"/>
  </cols>
  <sheetData>
    <row r="1" spans="1:14" x14ac:dyDescent="0.2">
      <c r="A1" s="1" t="s">
        <v>0</v>
      </c>
      <c r="B1" s="1" t="s">
        <v>4</v>
      </c>
      <c r="C1" s="1" t="s">
        <v>1</v>
      </c>
      <c r="D1" s="1" t="s">
        <v>2</v>
      </c>
      <c r="E1" s="1" t="s">
        <v>109</v>
      </c>
      <c r="F1" s="1" t="s">
        <v>263</v>
      </c>
      <c r="G1" s="1" t="s">
        <v>264</v>
      </c>
      <c r="H1" s="1" t="s">
        <v>170</v>
      </c>
      <c r="I1" s="1" t="s">
        <v>172</v>
      </c>
      <c r="J1" s="1" t="s">
        <v>176</v>
      </c>
      <c r="K1" s="1" t="s">
        <v>270</v>
      </c>
      <c r="L1" s="1" t="s">
        <v>268</v>
      </c>
      <c r="M1" s="1" t="s">
        <v>273</v>
      </c>
      <c r="N1" s="1" t="s">
        <v>216</v>
      </c>
    </row>
    <row r="2" spans="1:14" x14ac:dyDescent="0.2">
      <c r="A2" s="2" t="s">
        <v>40</v>
      </c>
      <c r="B2" s="2" t="s">
        <v>70</v>
      </c>
      <c r="C2" t="s">
        <v>84</v>
      </c>
      <c r="D2" t="s">
        <v>85</v>
      </c>
      <c r="E2" s="4" t="s">
        <v>169</v>
      </c>
      <c r="F2" s="3">
        <v>14</v>
      </c>
      <c r="G2" t="s">
        <v>271</v>
      </c>
      <c r="H2">
        <f>7</f>
        <v>7</v>
      </c>
      <c r="I2" t="s">
        <v>171</v>
      </c>
      <c r="J2" t="s">
        <v>181</v>
      </c>
      <c r="K2">
        <v>460</v>
      </c>
      <c r="M2" t="s">
        <v>298</v>
      </c>
      <c r="N2" t="s">
        <v>217</v>
      </c>
    </row>
    <row r="3" spans="1:14" x14ac:dyDescent="0.2">
      <c r="A3" s="2" t="s">
        <v>38</v>
      </c>
      <c r="B3" s="2" t="s">
        <v>68</v>
      </c>
      <c r="C3" t="s">
        <v>86</v>
      </c>
      <c r="D3" t="s">
        <v>87</v>
      </c>
      <c r="E3" s="4" t="s">
        <v>168</v>
      </c>
      <c r="F3" s="3">
        <v>18</v>
      </c>
      <c r="G3">
        <v>18</v>
      </c>
      <c r="H3">
        <f>10</f>
        <v>10</v>
      </c>
      <c r="I3" t="s">
        <v>173</v>
      </c>
      <c r="J3" t="s">
        <v>182</v>
      </c>
      <c r="K3">
        <v>380</v>
      </c>
      <c r="M3" t="s">
        <v>296</v>
      </c>
      <c r="N3" t="s">
        <v>218</v>
      </c>
    </row>
    <row r="4" spans="1:14" x14ac:dyDescent="0.2">
      <c r="A4" s="2" t="s">
        <v>35</v>
      </c>
      <c r="B4" s="2" t="s">
        <v>65</v>
      </c>
      <c r="C4" t="s">
        <v>95</v>
      </c>
      <c r="D4" t="s">
        <v>94</v>
      </c>
      <c r="E4" s="4" t="s">
        <v>164</v>
      </c>
      <c r="F4" s="3">
        <v>2</v>
      </c>
      <c r="G4">
        <v>2</v>
      </c>
      <c r="H4">
        <f>17+29/60</f>
        <v>17.483333333333334</v>
      </c>
      <c r="I4" t="s">
        <v>186</v>
      </c>
      <c r="J4" t="s">
        <v>182</v>
      </c>
      <c r="K4">
        <v>860</v>
      </c>
      <c r="L4" t="s">
        <v>269</v>
      </c>
      <c r="M4" t="s">
        <v>293</v>
      </c>
      <c r="N4" t="s">
        <v>222</v>
      </c>
    </row>
    <row r="5" spans="1:14" x14ac:dyDescent="0.2">
      <c r="A5" s="2" t="s">
        <v>9</v>
      </c>
      <c r="B5" s="2" t="s">
        <v>8</v>
      </c>
      <c r="C5" t="s">
        <v>87</v>
      </c>
      <c r="D5" t="s">
        <v>96</v>
      </c>
      <c r="E5" s="4" t="s">
        <v>163</v>
      </c>
      <c r="F5" s="3">
        <v>8</v>
      </c>
      <c r="G5">
        <v>8</v>
      </c>
      <c r="H5">
        <f>4</f>
        <v>4</v>
      </c>
      <c r="I5" t="s">
        <v>187</v>
      </c>
      <c r="J5" t="s">
        <v>188</v>
      </c>
      <c r="K5">
        <v>190</v>
      </c>
      <c r="M5" t="s">
        <v>276</v>
      </c>
      <c r="N5" t="s">
        <v>223</v>
      </c>
    </row>
    <row r="6" spans="1:14" x14ac:dyDescent="0.2">
      <c r="A6" s="2" t="s">
        <v>42</v>
      </c>
      <c r="B6" s="2" t="s">
        <v>72</v>
      </c>
      <c r="C6" t="s">
        <v>97</v>
      </c>
      <c r="D6" t="s">
        <v>98</v>
      </c>
      <c r="E6" s="4" t="s">
        <v>162</v>
      </c>
      <c r="F6" s="3">
        <v>13</v>
      </c>
      <c r="G6">
        <v>13</v>
      </c>
      <c r="H6">
        <f>7+24/60</f>
        <v>7.4</v>
      </c>
      <c r="I6" t="s">
        <v>189</v>
      </c>
      <c r="J6" t="s">
        <v>182</v>
      </c>
      <c r="K6">
        <v>410</v>
      </c>
      <c r="L6" t="s">
        <v>309</v>
      </c>
      <c r="M6" t="s">
        <v>277</v>
      </c>
      <c r="N6" t="s">
        <v>224</v>
      </c>
    </row>
    <row r="7" spans="1:14" x14ac:dyDescent="0.2">
      <c r="A7" s="2" t="s">
        <v>34</v>
      </c>
      <c r="B7" s="2" t="s">
        <v>64</v>
      </c>
      <c r="C7" t="s">
        <v>98</v>
      </c>
      <c r="D7" t="s">
        <v>99</v>
      </c>
      <c r="E7" s="4" t="s">
        <v>161</v>
      </c>
      <c r="F7" s="3">
        <v>35</v>
      </c>
      <c r="G7">
        <v>35</v>
      </c>
      <c r="H7">
        <f>51+20/60</f>
        <v>51.333333333333336</v>
      </c>
      <c r="I7" t="s">
        <v>190</v>
      </c>
      <c r="J7" t="s">
        <v>182</v>
      </c>
      <c r="K7">
        <v>2440</v>
      </c>
      <c r="L7" t="s">
        <v>269</v>
      </c>
      <c r="M7" t="s">
        <v>292</v>
      </c>
      <c r="N7" t="s">
        <v>225</v>
      </c>
    </row>
    <row r="8" spans="1:14" x14ac:dyDescent="0.2">
      <c r="A8" s="2" t="s">
        <v>43</v>
      </c>
      <c r="B8" s="2" t="s">
        <v>73</v>
      </c>
      <c r="C8" t="s">
        <v>100</v>
      </c>
      <c r="D8" t="s">
        <v>101</v>
      </c>
      <c r="E8" s="4" t="s">
        <v>160</v>
      </c>
      <c r="F8" s="3">
        <v>18</v>
      </c>
      <c r="G8">
        <v>18</v>
      </c>
      <c r="H8">
        <f>3+15/60</f>
        <v>3.25</v>
      </c>
      <c r="I8" t="s">
        <v>191</v>
      </c>
      <c r="J8" t="s">
        <v>181</v>
      </c>
      <c r="K8">
        <v>170</v>
      </c>
      <c r="L8" t="s">
        <v>269</v>
      </c>
      <c r="M8" t="s">
        <v>300</v>
      </c>
      <c r="N8" t="s">
        <v>226</v>
      </c>
    </row>
    <row r="9" spans="1:14" x14ac:dyDescent="0.2">
      <c r="A9" s="2" t="s">
        <v>33</v>
      </c>
      <c r="B9" s="2" t="s">
        <v>63</v>
      </c>
      <c r="C9" t="s">
        <v>87</v>
      </c>
      <c r="D9" t="s">
        <v>98</v>
      </c>
      <c r="E9" s="4" t="s">
        <v>159</v>
      </c>
      <c r="F9" s="3">
        <v>32</v>
      </c>
      <c r="G9">
        <v>32</v>
      </c>
      <c r="H9">
        <f>26+30/60</f>
        <v>26.5</v>
      </c>
      <c r="I9" t="s">
        <v>178</v>
      </c>
      <c r="J9" t="s">
        <v>179</v>
      </c>
      <c r="K9">
        <v>1150</v>
      </c>
      <c r="M9" t="s">
        <v>291</v>
      </c>
      <c r="N9" t="s">
        <v>227</v>
      </c>
    </row>
    <row r="10" spans="1:14" x14ac:dyDescent="0.2">
      <c r="A10" s="2" t="s">
        <v>44</v>
      </c>
      <c r="B10" s="2" t="s">
        <v>74</v>
      </c>
      <c r="C10" t="s">
        <v>87</v>
      </c>
      <c r="D10" t="s">
        <v>102</v>
      </c>
      <c r="E10" s="4" t="s">
        <v>158</v>
      </c>
      <c r="F10" s="3">
        <v>24</v>
      </c>
      <c r="G10">
        <v>24</v>
      </c>
      <c r="H10">
        <f>13+30/60</f>
        <v>13.5</v>
      </c>
      <c r="I10" t="s">
        <v>175</v>
      </c>
      <c r="J10" t="s">
        <v>182</v>
      </c>
      <c r="K10">
        <v>700</v>
      </c>
      <c r="M10" t="s">
        <v>301</v>
      </c>
      <c r="N10" t="s">
        <v>228</v>
      </c>
    </row>
    <row r="11" spans="1:14" x14ac:dyDescent="0.2">
      <c r="A11" s="2" t="s">
        <v>37</v>
      </c>
      <c r="B11" s="2" t="s">
        <v>67</v>
      </c>
      <c r="C11" t="s">
        <v>88</v>
      </c>
      <c r="D11" t="s">
        <v>89</v>
      </c>
      <c r="E11" s="4" t="s">
        <v>167</v>
      </c>
      <c r="F11" s="3">
        <v>18</v>
      </c>
      <c r="G11" s="6" t="s">
        <v>267</v>
      </c>
      <c r="H11">
        <f>10+25/60</f>
        <v>10.416666666666666</v>
      </c>
      <c r="I11" t="s">
        <v>183</v>
      </c>
      <c r="J11" t="s">
        <v>181</v>
      </c>
      <c r="K11">
        <v>470</v>
      </c>
      <c r="M11" t="s">
        <v>295</v>
      </c>
      <c r="N11" t="s">
        <v>219</v>
      </c>
    </row>
    <row r="12" spans="1:14" x14ac:dyDescent="0.2">
      <c r="A12" s="2" t="s">
        <v>32</v>
      </c>
      <c r="B12" s="2" t="s">
        <v>62</v>
      </c>
      <c r="C12" t="s">
        <v>98</v>
      </c>
      <c r="D12" t="s">
        <v>92</v>
      </c>
      <c r="E12" s="4" t="s">
        <v>157</v>
      </c>
      <c r="F12" s="3">
        <v>20</v>
      </c>
      <c r="G12">
        <v>20</v>
      </c>
      <c r="H12">
        <f>19</f>
        <v>19</v>
      </c>
      <c r="I12" t="s">
        <v>192</v>
      </c>
      <c r="J12" t="s">
        <v>182</v>
      </c>
      <c r="K12">
        <v>930</v>
      </c>
      <c r="L12" t="s">
        <v>269</v>
      </c>
      <c r="M12" t="s">
        <v>290</v>
      </c>
      <c r="N12" t="s">
        <v>229</v>
      </c>
    </row>
    <row r="13" spans="1:14" x14ac:dyDescent="0.2">
      <c r="A13" s="2" t="s">
        <v>31</v>
      </c>
      <c r="B13" s="2" t="s">
        <v>61</v>
      </c>
      <c r="C13" t="s">
        <v>103</v>
      </c>
      <c r="D13" t="s">
        <v>104</v>
      </c>
      <c r="E13" s="4" t="s">
        <v>156</v>
      </c>
      <c r="F13" s="3">
        <v>28</v>
      </c>
      <c r="G13">
        <v>28</v>
      </c>
      <c r="H13">
        <f>35</f>
        <v>35</v>
      </c>
      <c r="I13" t="s">
        <v>193</v>
      </c>
      <c r="J13" t="s">
        <v>182</v>
      </c>
      <c r="K13">
        <v>1380</v>
      </c>
      <c r="L13" s="7" t="s">
        <v>269</v>
      </c>
      <c r="M13" s="7" t="s">
        <v>289</v>
      </c>
      <c r="N13" t="s">
        <v>230</v>
      </c>
    </row>
    <row r="14" spans="1:14" x14ac:dyDescent="0.2">
      <c r="A14" s="2" t="s">
        <v>11</v>
      </c>
      <c r="B14" s="2" t="s">
        <v>18</v>
      </c>
      <c r="C14" t="s">
        <v>87</v>
      </c>
      <c r="D14" t="s">
        <v>92</v>
      </c>
      <c r="E14" s="4" t="s">
        <v>155</v>
      </c>
      <c r="F14" s="3">
        <v>33</v>
      </c>
      <c r="G14">
        <v>33</v>
      </c>
      <c r="H14">
        <f>30</f>
        <v>30</v>
      </c>
      <c r="I14" t="s">
        <v>194</v>
      </c>
      <c r="J14" t="s">
        <v>182</v>
      </c>
      <c r="K14">
        <v>1380</v>
      </c>
      <c r="L14" t="s">
        <v>269</v>
      </c>
      <c r="M14" t="s">
        <v>278</v>
      </c>
      <c r="N14" t="s">
        <v>231</v>
      </c>
    </row>
    <row r="15" spans="1:14" x14ac:dyDescent="0.2">
      <c r="A15" s="2" t="s">
        <v>45</v>
      </c>
      <c r="B15" s="2" t="s">
        <v>75</v>
      </c>
      <c r="C15" t="s">
        <v>105</v>
      </c>
      <c r="D15" t="s">
        <v>84</v>
      </c>
      <c r="E15" s="4" t="s">
        <v>154</v>
      </c>
      <c r="F15" s="3">
        <v>11</v>
      </c>
      <c r="G15">
        <v>11</v>
      </c>
      <c r="H15">
        <f>3+25/60</f>
        <v>3.4166666666666665</v>
      </c>
      <c r="I15" t="s">
        <v>180</v>
      </c>
      <c r="J15" t="s">
        <v>181</v>
      </c>
      <c r="K15">
        <v>150</v>
      </c>
      <c r="M15" t="s">
        <v>302</v>
      </c>
      <c r="N15" t="s">
        <v>232</v>
      </c>
    </row>
    <row r="16" spans="1:14" x14ac:dyDescent="0.2">
      <c r="A16" s="2" t="s">
        <v>41</v>
      </c>
      <c r="B16" s="2" t="s">
        <v>71</v>
      </c>
      <c r="C16" t="s">
        <v>98</v>
      </c>
      <c r="D16" t="s">
        <v>106</v>
      </c>
      <c r="E16" s="4" t="s">
        <v>153</v>
      </c>
      <c r="F16" s="3">
        <v>46</v>
      </c>
      <c r="G16">
        <v>46</v>
      </c>
      <c r="H16">
        <f>46</f>
        <v>46</v>
      </c>
      <c r="I16" t="s">
        <v>195</v>
      </c>
      <c r="J16" t="s">
        <v>182</v>
      </c>
      <c r="K16">
        <v>2200</v>
      </c>
      <c r="L16" t="s">
        <v>269</v>
      </c>
      <c r="M16" t="s">
        <v>299</v>
      </c>
      <c r="N16" t="s">
        <v>233</v>
      </c>
    </row>
    <row r="17" spans="1:14" x14ac:dyDescent="0.2">
      <c r="A17" s="2" t="s">
        <v>46</v>
      </c>
      <c r="B17" s="2" t="s">
        <v>76</v>
      </c>
      <c r="C17" t="s">
        <v>107</v>
      </c>
      <c r="D17" t="s">
        <v>87</v>
      </c>
      <c r="E17" s="4" t="s">
        <v>152</v>
      </c>
      <c r="F17" s="3">
        <v>16</v>
      </c>
      <c r="G17" s="6" t="s">
        <v>266</v>
      </c>
      <c r="H17">
        <f>7+20/60</f>
        <v>7.333333333333333</v>
      </c>
      <c r="I17" t="s">
        <v>196</v>
      </c>
      <c r="J17" t="s">
        <v>181</v>
      </c>
      <c r="K17">
        <v>460</v>
      </c>
      <c r="M17" t="s">
        <v>299</v>
      </c>
      <c r="N17" t="s">
        <v>234</v>
      </c>
    </row>
    <row r="18" spans="1:14" x14ac:dyDescent="0.2">
      <c r="A18" s="2" t="s">
        <v>3</v>
      </c>
      <c r="B18" s="2" t="s">
        <v>5</v>
      </c>
      <c r="C18" t="s">
        <v>108</v>
      </c>
      <c r="D18" t="s">
        <v>87</v>
      </c>
      <c r="E18" s="4" t="s">
        <v>151</v>
      </c>
      <c r="F18" s="3">
        <v>15</v>
      </c>
      <c r="G18">
        <v>15</v>
      </c>
      <c r="H18">
        <f>7+34/60</f>
        <v>7.5666666666666664</v>
      </c>
      <c r="I18" t="s">
        <v>197</v>
      </c>
      <c r="J18" t="s">
        <v>182</v>
      </c>
      <c r="K18">
        <v>270</v>
      </c>
      <c r="M18" t="s">
        <v>274</v>
      </c>
      <c r="N18" t="s">
        <v>235</v>
      </c>
    </row>
    <row r="19" spans="1:14" x14ac:dyDescent="0.2">
      <c r="A19" s="2" t="s">
        <v>30</v>
      </c>
      <c r="B19" s="2" t="s">
        <v>60</v>
      </c>
      <c r="C19" t="s">
        <v>98</v>
      </c>
      <c r="D19" t="s">
        <v>111</v>
      </c>
      <c r="E19" s="4" t="s">
        <v>150</v>
      </c>
      <c r="F19" s="3">
        <v>46</v>
      </c>
      <c r="G19">
        <v>46</v>
      </c>
      <c r="H19">
        <f>47</f>
        <v>47</v>
      </c>
      <c r="I19" t="s">
        <v>198</v>
      </c>
      <c r="J19" t="s">
        <v>182</v>
      </c>
      <c r="K19">
        <v>1100</v>
      </c>
      <c r="M19" t="s">
        <v>274</v>
      </c>
      <c r="N19" t="s">
        <v>236</v>
      </c>
    </row>
    <row r="20" spans="1:14" x14ac:dyDescent="0.2">
      <c r="A20" s="2" t="s">
        <v>36</v>
      </c>
      <c r="B20" s="2" t="s">
        <v>66</v>
      </c>
      <c r="C20" t="s">
        <v>110</v>
      </c>
      <c r="D20" t="s">
        <v>112</v>
      </c>
      <c r="E20" s="4" t="s">
        <v>149</v>
      </c>
      <c r="F20" s="3">
        <v>18</v>
      </c>
      <c r="G20">
        <v>18</v>
      </c>
      <c r="H20">
        <f>6+15/60</f>
        <v>6.25</v>
      </c>
      <c r="I20" t="s">
        <v>199</v>
      </c>
      <c r="J20" t="s">
        <v>181</v>
      </c>
      <c r="K20">
        <v>400</v>
      </c>
      <c r="M20" t="s">
        <v>294</v>
      </c>
      <c r="N20" t="s">
        <v>237</v>
      </c>
    </row>
    <row r="21" spans="1:14" x14ac:dyDescent="0.2">
      <c r="A21" s="2" t="s">
        <v>6</v>
      </c>
      <c r="B21" s="2" t="s">
        <v>7</v>
      </c>
      <c r="C21" t="s">
        <v>90</v>
      </c>
      <c r="D21" t="s">
        <v>91</v>
      </c>
      <c r="E21" s="4" t="s">
        <v>166</v>
      </c>
      <c r="F21" s="3">
        <v>9</v>
      </c>
      <c r="G21">
        <v>9</v>
      </c>
      <c r="H21">
        <f>1+24/60</f>
        <v>1.4</v>
      </c>
      <c r="I21" t="s">
        <v>174</v>
      </c>
      <c r="J21" t="s">
        <v>181</v>
      </c>
      <c r="K21">
        <v>60</v>
      </c>
      <c r="M21" t="s">
        <v>275</v>
      </c>
      <c r="N21" t="s">
        <v>220</v>
      </c>
    </row>
    <row r="22" spans="1:14" x14ac:dyDescent="0.2">
      <c r="A22" s="2" t="s">
        <v>29</v>
      </c>
      <c r="B22" s="2" t="s">
        <v>59</v>
      </c>
      <c r="C22" t="s">
        <v>113</v>
      </c>
      <c r="D22" t="s">
        <v>114</v>
      </c>
      <c r="E22" s="4" t="s">
        <v>148</v>
      </c>
      <c r="F22" s="3">
        <v>7</v>
      </c>
      <c r="G22">
        <v>7</v>
      </c>
      <c r="H22">
        <f>4+14/60</f>
        <v>4.2333333333333334</v>
      </c>
      <c r="I22" t="s">
        <v>200</v>
      </c>
      <c r="J22" t="s">
        <v>182</v>
      </c>
      <c r="K22">
        <v>200</v>
      </c>
      <c r="L22" t="s">
        <v>269</v>
      </c>
      <c r="M22" t="s">
        <v>274</v>
      </c>
      <c r="N22" t="s">
        <v>238</v>
      </c>
    </row>
    <row r="23" spans="1:14" x14ac:dyDescent="0.2">
      <c r="A23" s="2" t="s">
        <v>53</v>
      </c>
      <c r="B23" s="2" t="s">
        <v>83</v>
      </c>
      <c r="C23" t="s">
        <v>115</v>
      </c>
      <c r="D23" t="s">
        <v>98</v>
      </c>
      <c r="E23" s="4" t="s">
        <v>147</v>
      </c>
      <c r="F23" s="3">
        <v>5</v>
      </c>
      <c r="G23">
        <v>5</v>
      </c>
      <c r="H23">
        <f>1+29/60</f>
        <v>1.4833333333333334</v>
      </c>
      <c r="I23" t="s">
        <v>201</v>
      </c>
      <c r="J23" t="s">
        <v>181</v>
      </c>
      <c r="K23">
        <v>90</v>
      </c>
      <c r="L23" t="s">
        <v>309</v>
      </c>
      <c r="M23" t="s">
        <v>308</v>
      </c>
      <c r="N23" t="s">
        <v>239</v>
      </c>
    </row>
    <row r="24" spans="1:14" x14ac:dyDescent="0.2">
      <c r="A24" s="2" t="s">
        <v>27</v>
      </c>
      <c r="B24" s="2" t="s">
        <v>57</v>
      </c>
      <c r="C24" t="s">
        <v>98</v>
      </c>
      <c r="D24" t="s">
        <v>116</v>
      </c>
      <c r="E24" s="4" t="s">
        <v>146</v>
      </c>
      <c r="F24" s="3">
        <v>26</v>
      </c>
      <c r="G24" s="6" t="s">
        <v>265</v>
      </c>
      <c r="H24">
        <f>5+30/60</f>
        <v>5.5</v>
      </c>
      <c r="I24" t="s">
        <v>202</v>
      </c>
      <c r="J24" t="s">
        <v>181</v>
      </c>
      <c r="K24">
        <v>350</v>
      </c>
      <c r="L24" t="s">
        <v>269</v>
      </c>
      <c r="M24" t="s">
        <v>287</v>
      </c>
      <c r="N24" t="s">
        <v>240</v>
      </c>
    </row>
    <row r="25" spans="1:14" x14ac:dyDescent="0.2">
      <c r="A25" s="2" t="s">
        <v>47</v>
      </c>
      <c r="B25" s="2" t="s">
        <v>79</v>
      </c>
      <c r="C25" t="s">
        <v>87</v>
      </c>
      <c r="D25" t="s">
        <v>117</v>
      </c>
      <c r="E25" s="4" t="s">
        <v>118</v>
      </c>
      <c r="F25" s="3">
        <v>21</v>
      </c>
      <c r="G25" s="6" t="s">
        <v>262</v>
      </c>
      <c r="H25">
        <f>3+5/6</f>
        <v>3.8333333333333335</v>
      </c>
      <c r="I25" t="s">
        <v>203</v>
      </c>
      <c r="J25" t="s">
        <v>181</v>
      </c>
      <c r="K25">
        <v>200</v>
      </c>
      <c r="L25" t="s">
        <v>269</v>
      </c>
      <c r="M25" t="s">
        <v>303</v>
      </c>
      <c r="N25" t="s">
        <v>241</v>
      </c>
    </row>
    <row r="26" spans="1:14" x14ac:dyDescent="0.2">
      <c r="A26" s="2" t="s">
        <v>14</v>
      </c>
      <c r="B26" s="2" t="s">
        <v>21</v>
      </c>
      <c r="C26" t="s">
        <v>120</v>
      </c>
      <c r="D26" t="s">
        <v>98</v>
      </c>
      <c r="E26" s="4" t="s">
        <v>119</v>
      </c>
      <c r="F26" s="3">
        <v>26</v>
      </c>
      <c r="G26">
        <v>26</v>
      </c>
      <c r="H26">
        <f>19</f>
        <v>19</v>
      </c>
      <c r="I26" t="s">
        <v>192</v>
      </c>
      <c r="J26" t="s">
        <v>182</v>
      </c>
      <c r="K26">
        <v>960</v>
      </c>
      <c r="L26" t="s">
        <v>269</v>
      </c>
      <c r="M26" t="s">
        <v>281</v>
      </c>
      <c r="N26" t="s">
        <v>242</v>
      </c>
    </row>
    <row r="27" spans="1:14" x14ac:dyDescent="0.2">
      <c r="A27" s="2" t="s">
        <v>52</v>
      </c>
      <c r="B27" s="2" t="s">
        <v>82</v>
      </c>
      <c r="C27" t="s">
        <v>98</v>
      </c>
      <c r="D27" t="s">
        <v>121</v>
      </c>
      <c r="E27" s="4" t="s">
        <v>122</v>
      </c>
      <c r="F27" s="3">
        <v>20</v>
      </c>
      <c r="G27">
        <v>20</v>
      </c>
      <c r="H27">
        <f>11+45/60</f>
        <v>11.75</v>
      </c>
      <c r="I27" t="s">
        <v>204</v>
      </c>
      <c r="J27" t="s">
        <v>182</v>
      </c>
      <c r="K27">
        <v>200</v>
      </c>
      <c r="L27" t="s">
        <v>269</v>
      </c>
      <c r="M27" t="s">
        <v>307</v>
      </c>
      <c r="N27" t="s">
        <v>243</v>
      </c>
    </row>
    <row r="28" spans="1:14" x14ac:dyDescent="0.2">
      <c r="A28" s="2" t="s">
        <v>26</v>
      </c>
      <c r="B28" s="2" t="s">
        <v>56</v>
      </c>
      <c r="C28" t="s">
        <v>124</v>
      </c>
      <c r="D28" t="s">
        <v>87</v>
      </c>
      <c r="E28" s="4" t="s">
        <v>123</v>
      </c>
      <c r="F28" s="3">
        <v>22</v>
      </c>
      <c r="G28">
        <v>22</v>
      </c>
      <c r="H28">
        <f>12.5</f>
        <v>12.5</v>
      </c>
      <c r="I28" t="s">
        <v>205</v>
      </c>
      <c r="J28" t="s">
        <v>182</v>
      </c>
      <c r="K28">
        <v>550</v>
      </c>
      <c r="M28" t="s">
        <v>286</v>
      </c>
      <c r="N28" t="s">
        <v>244</v>
      </c>
    </row>
    <row r="29" spans="1:14" x14ac:dyDescent="0.2">
      <c r="A29" s="2" t="s">
        <v>39</v>
      </c>
      <c r="B29" s="2" t="s">
        <v>69</v>
      </c>
      <c r="C29" t="s">
        <v>92</v>
      </c>
      <c r="D29" t="s">
        <v>93</v>
      </c>
      <c r="E29" s="4" t="s">
        <v>165</v>
      </c>
      <c r="F29" s="3">
        <v>6</v>
      </c>
      <c r="G29">
        <v>6</v>
      </c>
      <c r="H29">
        <f>3+43/60</f>
        <v>3.7166666666666668</v>
      </c>
      <c r="I29" t="s">
        <v>184</v>
      </c>
      <c r="J29" t="s">
        <v>185</v>
      </c>
      <c r="K29">
        <v>150</v>
      </c>
      <c r="M29" t="s">
        <v>297</v>
      </c>
      <c r="N29" t="s">
        <v>221</v>
      </c>
    </row>
    <row r="30" spans="1:14" x14ac:dyDescent="0.2">
      <c r="A30" s="2" t="s">
        <v>15</v>
      </c>
      <c r="B30" s="2" t="s">
        <v>22</v>
      </c>
      <c r="C30" t="s">
        <v>98</v>
      </c>
      <c r="D30" t="s">
        <v>260</v>
      </c>
      <c r="E30" s="4" t="s">
        <v>125</v>
      </c>
      <c r="F30" s="3">
        <v>28</v>
      </c>
      <c r="G30" s="6" t="s">
        <v>261</v>
      </c>
      <c r="H30">
        <f>6+30/60</f>
        <v>6.5</v>
      </c>
      <c r="I30" t="s">
        <v>177</v>
      </c>
      <c r="J30" t="s">
        <v>181</v>
      </c>
      <c r="K30">
        <v>350</v>
      </c>
      <c r="M30" t="s">
        <v>282</v>
      </c>
      <c r="N30" t="s">
        <v>245</v>
      </c>
    </row>
    <row r="31" spans="1:14" x14ac:dyDescent="0.2">
      <c r="A31" s="2" t="s">
        <v>51</v>
      </c>
      <c r="B31" s="2" t="s">
        <v>81</v>
      </c>
      <c r="C31" t="s">
        <v>126</v>
      </c>
      <c r="D31" t="s">
        <v>121</v>
      </c>
      <c r="E31" s="4" t="s">
        <v>145</v>
      </c>
      <c r="F31" s="3">
        <v>10</v>
      </c>
      <c r="G31">
        <v>10</v>
      </c>
      <c r="H31">
        <f>5+40/60</f>
        <v>5.666666666666667</v>
      </c>
      <c r="I31" t="s">
        <v>206</v>
      </c>
      <c r="J31" t="s">
        <v>182</v>
      </c>
      <c r="K31">
        <v>240</v>
      </c>
      <c r="M31" t="s">
        <v>307</v>
      </c>
      <c r="N31" t="s">
        <v>246</v>
      </c>
    </row>
    <row r="32" spans="1:14" x14ac:dyDescent="0.2">
      <c r="A32" s="2" t="s">
        <v>13</v>
      </c>
      <c r="B32" s="2" t="s">
        <v>20</v>
      </c>
      <c r="C32" t="s">
        <v>127</v>
      </c>
      <c r="D32" t="s">
        <v>128</v>
      </c>
      <c r="E32" s="4" t="s">
        <v>129</v>
      </c>
      <c r="F32" s="3">
        <v>25</v>
      </c>
      <c r="G32" s="6" t="s">
        <v>258</v>
      </c>
      <c r="H32">
        <f>12.5</f>
        <v>12.5</v>
      </c>
      <c r="I32" t="s">
        <v>205</v>
      </c>
      <c r="J32" t="s">
        <v>181</v>
      </c>
      <c r="K32">
        <v>460</v>
      </c>
      <c r="L32" t="s">
        <v>269</v>
      </c>
      <c r="M32" t="s">
        <v>280</v>
      </c>
      <c r="N32" t="s">
        <v>247</v>
      </c>
    </row>
    <row r="33" spans="1:14" x14ac:dyDescent="0.2">
      <c r="A33" s="2" t="s">
        <v>25</v>
      </c>
      <c r="B33" s="2" t="s">
        <v>55</v>
      </c>
      <c r="C33" t="s">
        <v>130</v>
      </c>
      <c r="D33" t="s">
        <v>131</v>
      </c>
      <c r="E33" s="4" t="s">
        <v>132</v>
      </c>
      <c r="F33" s="3">
        <v>29</v>
      </c>
      <c r="G33" s="6" t="s">
        <v>259</v>
      </c>
      <c r="H33">
        <f>9</f>
        <v>9</v>
      </c>
      <c r="I33" t="s">
        <v>207</v>
      </c>
      <c r="J33" t="s">
        <v>181</v>
      </c>
      <c r="K33">
        <v>350</v>
      </c>
      <c r="L33" t="s">
        <v>269</v>
      </c>
      <c r="M33" t="s">
        <v>285</v>
      </c>
      <c r="N33" t="s">
        <v>248</v>
      </c>
    </row>
    <row r="34" spans="1:14" x14ac:dyDescent="0.2">
      <c r="A34" s="2" t="s">
        <v>24</v>
      </c>
      <c r="B34" s="2" t="s">
        <v>54</v>
      </c>
      <c r="C34" t="s">
        <v>87</v>
      </c>
      <c r="D34" t="s">
        <v>133</v>
      </c>
      <c r="E34" s="4" t="s">
        <v>144</v>
      </c>
      <c r="F34" s="3">
        <v>18</v>
      </c>
      <c r="G34">
        <v>18</v>
      </c>
      <c r="H34">
        <f>9+20/60</f>
        <v>9.3333333333333339</v>
      </c>
      <c r="I34" t="s">
        <v>208</v>
      </c>
      <c r="J34" t="s">
        <v>182</v>
      </c>
      <c r="K34">
        <v>340</v>
      </c>
      <c r="L34" t="s">
        <v>269</v>
      </c>
      <c r="M34" t="s">
        <v>284</v>
      </c>
      <c r="N34" t="s">
        <v>249</v>
      </c>
    </row>
    <row r="35" spans="1:14" x14ac:dyDescent="0.2">
      <c r="A35" s="2" t="s">
        <v>50</v>
      </c>
      <c r="B35" s="2" t="s">
        <v>80</v>
      </c>
      <c r="C35" t="s">
        <v>134</v>
      </c>
      <c r="D35" t="s">
        <v>102</v>
      </c>
      <c r="E35" s="4" t="s">
        <v>143</v>
      </c>
      <c r="F35" s="3">
        <v>9</v>
      </c>
      <c r="G35">
        <v>9</v>
      </c>
      <c r="H35">
        <f>3+10/60</f>
        <v>3.1666666666666665</v>
      </c>
      <c r="I35" t="s">
        <v>209</v>
      </c>
      <c r="J35" t="s">
        <v>182</v>
      </c>
      <c r="K35">
        <v>170</v>
      </c>
      <c r="L35" t="s">
        <v>269</v>
      </c>
      <c r="M35" t="s">
        <v>306</v>
      </c>
      <c r="N35" t="s">
        <v>250</v>
      </c>
    </row>
    <row r="36" spans="1:14" x14ac:dyDescent="0.2">
      <c r="A36" s="2" t="s">
        <v>16</v>
      </c>
      <c r="B36" s="2" t="s">
        <v>23</v>
      </c>
      <c r="C36" t="s">
        <v>87</v>
      </c>
      <c r="D36" t="s">
        <v>111</v>
      </c>
      <c r="E36" s="4" t="s">
        <v>135</v>
      </c>
      <c r="F36" s="3">
        <v>32</v>
      </c>
      <c r="G36" s="6" t="s">
        <v>257</v>
      </c>
      <c r="H36">
        <v>28</v>
      </c>
      <c r="I36" t="s">
        <v>210</v>
      </c>
      <c r="J36" t="s">
        <v>182</v>
      </c>
      <c r="K36" t="s">
        <v>272</v>
      </c>
      <c r="L36" t="s">
        <v>269</v>
      </c>
      <c r="M36" t="s">
        <v>283</v>
      </c>
      <c r="N36" t="s">
        <v>251</v>
      </c>
    </row>
    <row r="37" spans="1:14" x14ac:dyDescent="0.2">
      <c r="A37" s="2" t="s">
        <v>49</v>
      </c>
      <c r="B37" s="2" t="s">
        <v>77</v>
      </c>
      <c r="C37" t="s">
        <v>98</v>
      </c>
      <c r="D37" t="s">
        <v>104</v>
      </c>
      <c r="E37" s="4" t="s">
        <v>136</v>
      </c>
      <c r="F37">
        <v>33</v>
      </c>
      <c r="G37">
        <v>33</v>
      </c>
      <c r="H37">
        <v>40</v>
      </c>
      <c r="I37" t="s">
        <v>211</v>
      </c>
      <c r="J37" t="s">
        <v>182</v>
      </c>
      <c r="K37">
        <v>2270</v>
      </c>
      <c r="M37" t="s">
        <v>305</v>
      </c>
      <c r="N37" t="s">
        <v>252</v>
      </c>
    </row>
    <row r="38" spans="1:14" x14ac:dyDescent="0.2">
      <c r="A38" s="2" t="s">
        <v>28</v>
      </c>
      <c r="B38" s="2" t="s">
        <v>58</v>
      </c>
      <c r="C38" t="s">
        <v>92</v>
      </c>
      <c r="D38" t="s">
        <v>104</v>
      </c>
      <c r="E38" s="4" t="s">
        <v>137</v>
      </c>
      <c r="F38">
        <v>22</v>
      </c>
      <c r="G38">
        <v>22</v>
      </c>
      <c r="H38">
        <f>48</f>
        <v>48</v>
      </c>
      <c r="I38" t="s">
        <v>212</v>
      </c>
      <c r="J38" t="s">
        <v>179</v>
      </c>
      <c r="K38">
        <v>2000</v>
      </c>
      <c r="L38" t="s">
        <v>269</v>
      </c>
      <c r="M38" t="s">
        <v>288</v>
      </c>
      <c r="N38" t="s">
        <v>253</v>
      </c>
    </row>
    <row r="39" spans="1:14" x14ac:dyDescent="0.2">
      <c r="A39" s="2" t="s">
        <v>48</v>
      </c>
      <c r="B39" s="2" t="s">
        <v>78</v>
      </c>
      <c r="C39" t="s">
        <v>98</v>
      </c>
      <c r="D39" t="s">
        <v>104</v>
      </c>
      <c r="E39" s="4" t="s">
        <v>138</v>
      </c>
      <c r="F39">
        <v>43</v>
      </c>
      <c r="G39">
        <v>43</v>
      </c>
      <c r="H39">
        <f>32+25/60</f>
        <v>32.416666666666664</v>
      </c>
      <c r="I39" t="s">
        <v>213</v>
      </c>
      <c r="J39" t="s">
        <v>182</v>
      </c>
      <c r="K39">
        <v>1300</v>
      </c>
      <c r="L39" t="s">
        <v>269</v>
      </c>
      <c r="M39" t="s">
        <v>304</v>
      </c>
      <c r="N39" t="s">
        <v>254</v>
      </c>
    </row>
    <row r="40" spans="1:14" x14ac:dyDescent="0.2">
      <c r="A40" s="2" t="s">
        <v>10</v>
      </c>
      <c r="B40" s="2" t="s">
        <v>17</v>
      </c>
      <c r="C40" t="s">
        <v>90</v>
      </c>
      <c r="D40" t="s">
        <v>140</v>
      </c>
      <c r="E40" s="4" t="s">
        <v>139</v>
      </c>
      <c r="F40">
        <v>12</v>
      </c>
      <c r="G40">
        <v>12</v>
      </c>
      <c r="H40">
        <f>2+48/60</f>
        <v>2.8</v>
      </c>
      <c r="I40" t="s">
        <v>214</v>
      </c>
      <c r="J40" t="s">
        <v>181</v>
      </c>
      <c r="K40">
        <v>90</v>
      </c>
      <c r="M40" t="s">
        <v>277</v>
      </c>
      <c r="N40" t="s">
        <v>255</v>
      </c>
    </row>
    <row r="41" spans="1:14" x14ac:dyDescent="0.2">
      <c r="A41" s="2" t="s">
        <v>12</v>
      </c>
      <c r="B41" s="2" t="s">
        <v>19</v>
      </c>
      <c r="C41" t="s">
        <v>142</v>
      </c>
      <c r="D41" t="s">
        <v>85</v>
      </c>
      <c r="E41" s="5" t="s">
        <v>141</v>
      </c>
      <c r="F41">
        <v>30</v>
      </c>
      <c r="G41">
        <v>30</v>
      </c>
      <c r="H41">
        <f>13+45/60</f>
        <v>13.75</v>
      </c>
      <c r="I41" t="s">
        <v>215</v>
      </c>
      <c r="J41" t="s">
        <v>182</v>
      </c>
      <c r="K41">
        <v>610</v>
      </c>
      <c r="L41" t="s">
        <v>269</v>
      </c>
      <c r="M41" t="s">
        <v>279</v>
      </c>
      <c r="N41" t="s">
        <v>256</v>
      </c>
    </row>
  </sheetData>
  <sortState xmlns:xlrd2="http://schemas.microsoft.com/office/spreadsheetml/2017/richdata2" ref="A2:B41">
    <sortCondition ref="A2:A41"/>
  </sortState>
  <conditionalFormatting sqref="F2:F41">
    <cfRule type="colorScale" priority="1">
      <colorScale>
        <cfvo type="min"/>
        <cfvo type="max"/>
        <color theme="4" tint="0.79998168889431442"/>
        <color theme="4" tint="0.39997558519241921"/>
      </colorScale>
    </cfRule>
  </conditionalFormatting>
  <conditionalFormatting sqref="H2:H41">
    <cfRule type="colorScale" priority="7">
      <colorScale>
        <cfvo type="min"/>
        <cfvo type="max"/>
        <color theme="5" tint="0.59999389629810485"/>
        <color theme="5" tint="-0.249977111117893"/>
      </colorScale>
    </cfRule>
  </conditionalFormatting>
  <conditionalFormatting sqref="J2:M12 J13:K13 J14:M41">
    <cfRule type="containsText" dxfId="2" priority="4" operator="containsText" text="week">
      <formula>NOT(ISERROR(SEARCH("week",J2)))</formula>
    </cfRule>
    <cfRule type="beginsWith" dxfId="1" priority="5" operator="beginsWith" text="Daily">
      <formula>LEFT(J2,LEN("Daily"))="Daily"</formula>
    </cfRule>
    <cfRule type="containsText" dxfId="0" priority="6" operator="containsText" text="x Daily">
      <formula>NOT(ISERROR(SEARCH("x Daily",J2)))</formula>
    </cfRule>
  </conditionalFormatting>
  <conditionalFormatting sqref="K2:K41">
    <cfRule type="colorScale" priority="3">
      <colorScale>
        <cfvo type="min"/>
        <cfvo type="max"/>
        <color theme="4" tint="0.79998168889431442"/>
        <color theme="4" tint="0.39997558519241921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Rosita Fu</dc:creator>
  <cp:lastModifiedBy>Rosita Fu</cp:lastModifiedBy>
  <dcterms:created xsi:type="dcterms:W3CDTF">2026-03-01T13:32:46Z</dcterms:created>
  <dcterms:modified xsi:type="dcterms:W3CDTF">2026-03-02T13:29:43Z</dcterms:modified>
</cp:coreProperties>
</file>